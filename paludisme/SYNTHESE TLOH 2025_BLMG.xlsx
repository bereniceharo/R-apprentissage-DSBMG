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OSSIER 2023\TLOH\TLOH 2025\"/>
    </mc:Choice>
  </mc:AlternateContent>
  <xr:revisionPtr revIDLastSave="0" documentId="13_ncr:1_{CE792B73-E301-47D4-912D-B3305D9FF9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55" i="1" l="1"/>
  <c r="CT55" i="1" l="1"/>
  <c r="CU55" i="1"/>
  <c r="CV55" i="1"/>
  <c r="CO55" i="1" l="1"/>
  <c r="CN55" i="1"/>
  <c r="CM55" i="1"/>
  <c r="CG55" i="1"/>
  <c r="CF55" i="1"/>
  <c r="CE55" i="1"/>
  <c r="BY55" i="1"/>
  <c r="BX55" i="1"/>
  <c r="BW55" i="1"/>
  <c r="BQ55" i="1"/>
  <c r="BP55" i="1"/>
  <c r="BO55" i="1"/>
  <c r="BI55" i="1"/>
  <c r="BH55" i="1"/>
  <c r="BG55" i="1"/>
  <c r="BA55" i="1"/>
  <c r="AZ55" i="1"/>
  <c r="AY55" i="1"/>
  <c r="AS55" i="1"/>
  <c r="AR55" i="1"/>
  <c r="AQ55" i="1"/>
  <c r="AK55" i="1"/>
  <c r="AJ55" i="1"/>
  <c r="AI55" i="1"/>
  <c r="AC55" i="1"/>
  <c r="AB55" i="1"/>
  <c r="AA55" i="1"/>
  <c r="U55" i="1"/>
  <c r="T55" i="1"/>
  <c r="S55" i="1"/>
  <c r="M55" i="1"/>
  <c r="L55" i="1"/>
  <c r="K55" i="1"/>
  <c r="F55" i="1"/>
  <c r="E55" i="1"/>
  <c r="D55" i="1"/>
  <c r="C55" i="1"/>
  <c r="G55" i="1"/>
  <c r="H55" i="1"/>
  <c r="I55" i="1"/>
  <c r="J55" i="1"/>
  <c r="N55" i="1"/>
  <c r="O55" i="1"/>
  <c r="P55" i="1"/>
  <c r="Q55" i="1"/>
  <c r="R55" i="1"/>
  <c r="V55" i="1"/>
  <c r="W55" i="1"/>
  <c r="X55" i="1"/>
  <c r="Y55" i="1"/>
  <c r="Z55" i="1"/>
  <c r="AD55" i="1"/>
  <c r="AE55" i="1"/>
  <c r="AF55" i="1"/>
  <c r="AH55" i="1"/>
  <c r="AL55" i="1"/>
  <c r="AM55" i="1"/>
  <c r="AN55" i="1"/>
  <c r="AO55" i="1"/>
  <c r="AP55" i="1"/>
  <c r="AT55" i="1"/>
  <c r="AU55" i="1"/>
  <c r="AV55" i="1"/>
  <c r="AW55" i="1"/>
  <c r="AX55" i="1"/>
  <c r="BB55" i="1"/>
  <c r="BC55" i="1"/>
  <c r="BD55" i="1"/>
  <c r="BE55" i="1"/>
  <c r="BF55" i="1"/>
  <c r="BJ55" i="1"/>
  <c r="BK55" i="1"/>
  <c r="BL55" i="1"/>
  <c r="BM55" i="1"/>
  <c r="BN55" i="1"/>
  <c r="BR55" i="1"/>
  <c r="BS55" i="1"/>
  <c r="BT55" i="1"/>
  <c r="BU55" i="1"/>
  <c r="BV55" i="1"/>
  <c r="BZ55" i="1"/>
  <c r="CA55" i="1"/>
  <c r="CB55" i="1"/>
  <c r="CC55" i="1"/>
  <c r="CD55" i="1"/>
  <c r="CH55" i="1"/>
  <c r="CI55" i="1"/>
  <c r="CJ55" i="1"/>
  <c r="CK55" i="1"/>
  <c r="CL55" i="1"/>
  <c r="CP55" i="1"/>
  <c r="CQ55" i="1"/>
  <c r="CR55" i="1"/>
  <c r="CS55" i="1"/>
  <c r="B55" i="1"/>
</calcChain>
</file>

<file path=xl/sharedStrings.xml><?xml version="1.0" encoding="utf-8"?>
<sst xmlns="http://schemas.openxmlformats.org/spreadsheetml/2006/main" count="156" uniqueCount="114">
  <si>
    <t>Semaines Epidémiologiques</t>
  </si>
  <si>
    <t>Méningite</t>
  </si>
  <si>
    <t>Rougeole</t>
  </si>
  <si>
    <t>Diarrhée sanguinolente</t>
  </si>
  <si>
    <t>Choléra</t>
  </si>
  <si>
    <t>Ictère Fébrile</t>
  </si>
  <si>
    <t>PFA</t>
  </si>
  <si>
    <t>Tétanos Neo natal</t>
  </si>
  <si>
    <t>Ver de Guinée</t>
  </si>
  <si>
    <t>Syndromes Grippaux</t>
  </si>
  <si>
    <t>Infection Respiratoire Aigüe Sévère</t>
  </si>
  <si>
    <t>Palu Simple</t>
  </si>
  <si>
    <t>PG</t>
  </si>
  <si>
    <t>Dengue</t>
  </si>
  <si>
    <t>Décès maternel</t>
  </si>
  <si>
    <t>Mort-né</t>
  </si>
  <si>
    <t>Décès périnatal</t>
  </si>
  <si>
    <t>COVID-19</t>
  </si>
  <si>
    <t xml:space="preserve">Charbon </t>
  </si>
  <si>
    <t>Grippe humaine due à un nouveau sous type</t>
  </si>
  <si>
    <t>Maladie à virus Ebola</t>
  </si>
  <si>
    <t>Fièvre de Lassa</t>
  </si>
  <si>
    <t>Maladie à virus Zika</t>
  </si>
  <si>
    <t>Fièvre de la Vallé du Rift</t>
  </si>
  <si>
    <t>Transmission FS Publiques</t>
  </si>
  <si>
    <t>Transmission FS Privées</t>
  </si>
  <si>
    <t>VARICELLE</t>
  </si>
  <si>
    <t>LABORATOIRE   MENINGITE</t>
  </si>
  <si>
    <t>TDR DENGUE</t>
  </si>
  <si>
    <t>PRELEVEMENTS CAS ROUGEOLE</t>
  </si>
  <si>
    <t>PRELEVEMENTS CAS PFA</t>
  </si>
  <si>
    <t>PRELEVEMENTS CAS ICTERES FEBRILES</t>
  </si>
  <si>
    <t>Cas</t>
  </si>
  <si>
    <t>Décès</t>
  </si>
  <si>
    <t>Notifié</t>
  </si>
  <si>
    <t>Isolé</t>
  </si>
  <si>
    <t>cas</t>
  </si>
  <si>
    <t>décès</t>
  </si>
  <si>
    <t>dont &lt; 5ans</t>
  </si>
  <si>
    <t xml:space="preserve">DCD </t>
  </si>
  <si>
    <t>Probables</t>
  </si>
  <si>
    <t>Hospitalisés</t>
  </si>
  <si>
    <t>Institution</t>
  </si>
  <si>
    <t>Communauté</t>
  </si>
  <si>
    <t>Cas suspects</t>
  </si>
  <si>
    <t>Cas confirmés</t>
  </si>
  <si>
    <t xml:space="preserve">décès </t>
  </si>
  <si>
    <t xml:space="preserve">Cas </t>
  </si>
  <si>
    <t>TLOH Attendus</t>
  </si>
  <si>
    <t>TLOH Reçus</t>
  </si>
  <si>
    <t>TLOH Reçus à Temps</t>
  </si>
  <si>
    <t>NBRE PRELEVE</t>
  </si>
  <si>
    <t>GRAM</t>
  </si>
  <si>
    <t>LATEX</t>
  </si>
  <si>
    <t>CULTURE</t>
  </si>
  <si>
    <t xml:space="preserve">NBRE DE CAS </t>
  </si>
  <si>
    <t>NBRE TESTE</t>
  </si>
  <si>
    <t>TDR</t>
  </si>
  <si>
    <t>NBRE DE CAS AYANT BENEFICIE DE PRELEVEMENT</t>
  </si>
  <si>
    <t>PRELEVEMENT SELLES DANS LES 14 JOURS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</si>
  <si>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</si>
  <si>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</si>
  <si>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</si>
  <si>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</si>
  <si>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</si>
  <si>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</si>
  <si>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</si>
  <si>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</si>
  <si>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</si>
  <si>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</si>
  <si>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</si>
  <si>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</si>
  <si>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</si>
  <si>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</si>
  <si>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</si>
  <si>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</si>
  <si>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</si>
  <si>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</si>
  <si>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</si>
  <si>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</si>
  <si>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</si>
  <si>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</si>
  <si>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</si>
  <si>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</si>
  <si>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</si>
  <si>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</si>
  <si>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</si>
  <si>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</si>
  <si>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</si>
  <si>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</si>
  <si>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</si>
  <si>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</si>
  <si>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</si>
  <si>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</si>
  <si>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</si>
  <si>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</si>
  <si>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</si>
  <si>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</si>
  <si>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</si>
  <si>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</si>
  <si>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</si>
  <si>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</si>
  <si>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</si>
  <si>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</si>
  <si>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</si>
  <si>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</si>
  <si>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</si>
  <si>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</si>
  <si>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</si>
  <si>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</si>
  <si>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</si>
  <si>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</si>
  <si>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DS</t>
  </si>
  <si>
    <t>Transmission autres FS publiques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</si>
</sst>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2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9"/>
      <color rgb="FF00B050"/>
      <name val="Arial"/>
      <family val="2"/>
    </font>
    <font>
      <b/>
      <i/>
      <sz val="8"/>
      <name val="Arial"/>
      <family val="2"/>
    </font>
    <font>
      <b/>
      <sz val="11"/>
      <color theme="1"/>
      <name val="Calibri"/>
      <family val="2"/>
      <scheme val="minor"/>
    </font>
    <font>
      <i/>
      <sz val="14"/>
      <name val="Arial"/>
      <family val="2"/>
    </font>
    <font>
      <sz val="14"/>
      <name val="Arial"/>
      <family val="2"/>
    </font>
    <font>
      <sz val="8"/>
      <name val="Calibri"/>
      <family val="2"/>
      <scheme val="minor"/>
    </font>
    <font>
      <b/>
      <sz val="12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9" fillId="0" borderId="0">
      <alignment vertical="center"/>
    </xf>
  </cellStyleXfs>
  <cellXfs count="53">
    <xf numFmtId="0" fontId="0" fillId="0" borderId="0" xfId="0"/>
    <xf numFmtId="0" fontId="1" fillId="4" borderId="1" xfId="0" applyFont="1" applyFill="1" applyBorder="1" applyAlignment="1">
      <alignment horizontal="center" vertical="center" textRotation="90" wrapText="1"/>
    </xf>
    <xf numFmtId="0" fontId="6" fillId="3" borderId="1" xfId="0" quotePrefix="1" applyFont="1" applyFill="1" applyBorder="1" applyAlignment="1">
      <alignment horizontal="center" vertical="center" textRotation="90" wrapText="1"/>
    </xf>
    <xf numFmtId="0" fontId="6" fillId="4" borderId="1" xfId="0" quotePrefix="1" applyFont="1" applyFill="1" applyBorder="1" applyAlignment="1">
      <alignment horizontal="center" vertical="center" textRotation="90" wrapText="1"/>
    </xf>
    <xf numFmtId="0" fontId="6" fillId="5" borderId="1" xfId="0" quotePrefix="1" applyFont="1" applyFill="1" applyBorder="1" applyAlignment="1">
      <alignment horizontal="center" vertical="center" textRotation="90" wrapText="1"/>
    </xf>
    <xf numFmtId="0" fontId="6" fillId="4" borderId="1" xfId="0" applyFont="1" applyFill="1" applyBorder="1" applyAlignment="1">
      <alignment horizontal="center" vertical="center" textRotation="90" wrapText="1"/>
    </xf>
    <xf numFmtId="0" fontId="6" fillId="6" borderId="1" xfId="0" quotePrefix="1" applyFont="1" applyFill="1" applyBorder="1" applyAlignment="1">
      <alignment horizontal="center" vertical="center" textRotation="90" wrapText="1"/>
    </xf>
    <xf numFmtId="0" fontId="6" fillId="7" borderId="1" xfId="0" quotePrefix="1" applyFont="1" applyFill="1" applyBorder="1" applyAlignment="1">
      <alignment horizontal="center" vertical="center" textRotation="90" wrapText="1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textRotation="90" wrapText="1"/>
    </xf>
    <xf numFmtId="0" fontId="12" fillId="0" borderId="1" xfId="0" applyFont="1" applyBorder="1"/>
    <xf numFmtId="0" fontId="1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2" borderId="1" xfId="0" quotePrefix="1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7" fillId="2" borderId="1" xfId="0" quotePrefix="1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6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horizontal="center" vertical="center" textRotation="90" wrapText="1"/>
    </xf>
    <xf numFmtId="0" fontId="1" fillId="3" borderId="1" xfId="0" quotePrefix="1" applyFont="1" applyFill="1" applyBorder="1" applyAlignment="1">
      <alignment horizontal="center" vertical="center" textRotation="90" wrapText="1"/>
    </xf>
    <xf numFmtId="0" fontId="1" fillId="4" borderId="1" xfId="0" quotePrefix="1" applyFont="1" applyFill="1" applyBorder="1" applyAlignment="1">
      <alignment horizontal="center" vertical="center" textRotation="90" wrapText="1"/>
    </xf>
    <xf numFmtId="0" fontId="1" fillId="8" borderId="1" xfId="0" quotePrefix="1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textRotation="90" wrapText="1"/>
    </xf>
    <xf numFmtId="0" fontId="4" fillId="9" borderId="1" xfId="0" applyFont="1" applyFill="1" applyBorder="1" applyAlignment="1">
      <alignment horizontal="center" textRotation="90" wrapText="1"/>
    </xf>
    <xf numFmtId="0" fontId="2" fillId="4" borderId="2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4" xfId="0" applyFont="1" applyFill="1" applyBorder="1" applyAlignment="1">
      <alignment horizontal="center" vertical="center" textRotation="90" wrapText="1"/>
    </xf>
    <xf numFmtId="0" fontId="2" fillId="4" borderId="5" xfId="0" applyFont="1" applyFill="1" applyBorder="1" applyAlignment="1">
      <alignment horizontal="center" vertical="center" textRotation="90" wrapText="1"/>
    </xf>
    <xf numFmtId="0" fontId="2" fillId="4" borderId="6" xfId="0" applyFont="1" applyFill="1" applyBorder="1" applyAlignment="1">
      <alignment horizontal="center" vertical="center" textRotation="90" wrapText="1"/>
    </xf>
    <xf numFmtId="0" fontId="2" fillId="4" borderId="7" xfId="0" applyFont="1" applyFill="1" applyBorder="1" applyAlignment="1">
      <alignment horizontal="center" vertical="center" textRotation="90" wrapText="1"/>
    </xf>
    <xf numFmtId="0" fontId="5" fillId="9" borderId="1" xfId="0" applyFont="1" applyFill="1" applyBorder="1" applyAlignment="1">
      <alignment horizontal="center" textRotation="90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90"/>
    </xf>
    <xf numFmtId="0" fontId="4" fillId="7" borderId="1" xfId="0" applyFont="1" applyFill="1" applyBorder="1" applyAlignment="1">
      <alignment horizontal="center" textRotation="90" wrapText="1"/>
    </xf>
  </cellXfs>
  <cellStyles count="2">
    <cellStyle name="Normal" xfId="0" builtinId="0"/>
    <cellStyle name="Normal 2" xfId="1" xr:uid="{0C0F212B-F3D3-4F35-AAB9-8B807CF2F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25"/>
  <sheetViews>
    <sheetView tabSelected="1" zoomScale="98" zoomScaleNormal="98" workbookViewId="0">
      <pane xSplit="1" ySplit="2" topLeftCell="B23" activePane="bottomRight" state="frozen"/>
      <selection pane="topRight" activeCell="B1" sqref="B1"/>
      <selection pane="bottomLeft" activeCell="A4" sqref="A4"/>
      <selection pane="bottomRight" activeCell="CV25" sqref="CV25"/>
    </sheetView>
  </sheetViews>
  <sheetFormatPr baseColWidth="10" defaultRowHeight="15" x14ac:dyDescent="0.25"/>
  <cols>
    <col min="1" max="1" width="11.42578125" style="21"/>
    <col min="2" max="3" width="7.140625" style="18" customWidth="1"/>
    <col min="4" max="4" width="9.7109375" style="18" customWidth="1"/>
    <col min="5" max="17" width="7.140625" style="18" customWidth="1"/>
    <col min="18" max="18" width="10.5703125" style="18" customWidth="1"/>
    <col min="19" max="19" width="7.140625" style="18" customWidth="1"/>
    <col min="20" max="20" width="14" style="18" customWidth="1"/>
    <col min="21" max="22" width="11.140625" style="18" customWidth="1"/>
    <col min="23" max="23" width="9.42578125" style="18" customWidth="1"/>
    <col min="24" max="24" width="8.140625" style="18" customWidth="1"/>
    <col min="25" max="26" width="7.140625" style="18" customWidth="1"/>
    <col min="27" max="27" width="12.28515625" style="18" customWidth="1"/>
    <col min="28" max="28" width="8.42578125" style="18" customWidth="1"/>
    <col min="29" max="29" width="9.42578125" style="18" customWidth="1"/>
    <col min="30" max="51" width="7.140625" style="18" customWidth="1"/>
    <col min="52" max="52" width="13.28515625" style="18" customWidth="1"/>
    <col min="53" max="53" width="9.5703125" style="18" customWidth="1"/>
    <col min="54" max="54" width="9.42578125" style="18" customWidth="1"/>
    <col min="55" max="55" width="8.85546875" style="18" customWidth="1"/>
    <col min="56" max="56" width="9" style="18" customWidth="1"/>
    <col min="57" max="57" width="8.28515625" style="18" customWidth="1"/>
    <col min="58" max="58" width="10.5703125" style="24" customWidth="1"/>
    <col min="59" max="59" width="7.140625" style="18" customWidth="1"/>
    <col min="60" max="85" width="4.5703125" style="18" customWidth="1"/>
    <col min="86" max="86" width="7.28515625" style="18" customWidth="1"/>
    <col min="87" max="87" width="12.140625" style="24" customWidth="1"/>
    <col min="88" max="88" width="9.28515625" style="24" customWidth="1"/>
    <col min="89" max="89" width="7.7109375" style="24" customWidth="1"/>
    <col min="90" max="90" width="9.7109375" style="24" customWidth="1"/>
    <col min="91" max="91" width="8.140625" style="24" customWidth="1"/>
    <col min="92" max="92" width="6.7109375" style="18" customWidth="1"/>
    <col min="93" max="93" width="7.7109375" style="18" customWidth="1"/>
    <col min="94" max="97" width="6.7109375" style="18" customWidth="1"/>
    <col min="98" max="100" width="11.42578125" style="24"/>
    <col min="101" max="16384" width="11.42578125" style="18"/>
  </cols>
  <sheetData>
    <row r="1" spans="1:100" s="14" customFormat="1" ht="81" customHeight="1" x14ac:dyDescent="0.25">
      <c r="A1" s="30" t="s">
        <v>0</v>
      </c>
      <c r="B1" s="31" t="s">
        <v>1</v>
      </c>
      <c r="C1" s="31"/>
      <c r="D1" s="29" t="s">
        <v>2</v>
      </c>
      <c r="E1" s="29"/>
      <c r="F1" s="29" t="s">
        <v>3</v>
      </c>
      <c r="G1" s="29"/>
      <c r="H1" s="29" t="s">
        <v>4</v>
      </c>
      <c r="I1" s="29"/>
      <c r="J1" s="29" t="s">
        <v>5</v>
      </c>
      <c r="K1" s="29"/>
      <c r="L1" s="32" t="s">
        <v>6</v>
      </c>
      <c r="M1" s="32"/>
      <c r="N1" s="29" t="s">
        <v>7</v>
      </c>
      <c r="O1" s="29"/>
      <c r="P1" s="29" t="s">
        <v>8</v>
      </c>
      <c r="Q1" s="29"/>
      <c r="R1" s="1" t="s">
        <v>9</v>
      </c>
      <c r="S1" s="29" t="s">
        <v>10</v>
      </c>
      <c r="T1" s="29"/>
      <c r="U1" s="33" t="s">
        <v>11</v>
      </c>
      <c r="V1" s="33"/>
      <c r="W1" s="29" t="s">
        <v>12</v>
      </c>
      <c r="X1" s="29"/>
      <c r="Y1" s="29"/>
      <c r="Z1" s="29"/>
      <c r="AA1" s="34" t="s">
        <v>13</v>
      </c>
      <c r="AB1" s="34"/>
      <c r="AC1" s="34"/>
      <c r="AD1" s="34"/>
      <c r="AE1" s="35" t="s">
        <v>14</v>
      </c>
      <c r="AF1" s="35"/>
      <c r="AG1" s="36" t="s">
        <v>15</v>
      </c>
      <c r="AH1" s="37"/>
      <c r="AI1" s="35" t="s">
        <v>16</v>
      </c>
      <c r="AJ1" s="35"/>
      <c r="AK1" s="37" t="s">
        <v>17</v>
      </c>
      <c r="AL1" s="37"/>
      <c r="AM1" s="37"/>
      <c r="AN1" s="37" t="s">
        <v>18</v>
      </c>
      <c r="AO1" s="37"/>
      <c r="AP1" s="37" t="s">
        <v>19</v>
      </c>
      <c r="AQ1" s="37"/>
      <c r="AR1" s="37" t="s">
        <v>20</v>
      </c>
      <c r="AS1" s="37"/>
      <c r="AT1" s="37" t="s">
        <v>21</v>
      </c>
      <c r="AU1" s="37"/>
      <c r="AV1" s="37" t="s">
        <v>22</v>
      </c>
      <c r="AW1" s="37"/>
      <c r="AX1" s="37" t="s">
        <v>23</v>
      </c>
      <c r="AY1" s="37"/>
      <c r="AZ1" s="29" t="s">
        <v>24</v>
      </c>
      <c r="BA1" s="29"/>
      <c r="BB1" s="29"/>
      <c r="BC1" s="38" t="s">
        <v>25</v>
      </c>
      <c r="BD1" s="38"/>
      <c r="BE1" s="38"/>
      <c r="BF1" s="39" t="s">
        <v>26</v>
      </c>
      <c r="BG1" s="13"/>
      <c r="BH1" s="40" t="s">
        <v>27</v>
      </c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1" t="s">
        <v>28</v>
      </c>
      <c r="CJ1" s="41"/>
      <c r="CK1" s="41"/>
      <c r="CL1" s="41"/>
      <c r="CM1" s="42" t="s">
        <v>29</v>
      </c>
      <c r="CN1" s="42"/>
      <c r="CO1" s="52" t="s">
        <v>30</v>
      </c>
      <c r="CP1" s="52"/>
      <c r="CQ1" s="52"/>
      <c r="CR1" s="49" t="s">
        <v>31</v>
      </c>
      <c r="CS1" s="49"/>
      <c r="CT1" s="43" t="s">
        <v>113</v>
      </c>
      <c r="CU1" s="44"/>
      <c r="CV1" s="45"/>
    </row>
    <row r="2" spans="1:100" s="14" customFormat="1" ht="85.5" customHeight="1" x14ac:dyDescent="0.25">
      <c r="A2" s="30"/>
      <c r="B2" s="2" t="s">
        <v>32</v>
      </c>
      <c r="C2" s="2" t="s">
        <v>33</v>
      </c>
      <c r="D2" s="3" t="s">
        <v>32</v>
      </c>
      <c r="E2" s="3" t="s">
        <v>33</v>
      </c>
      <c r="F2" s="3" t="s">
        <v>32</v>
      </c>
      <c r="G2" s="3" t="s">
        <v>33</v>
      </c>
      <c r="H2" s="3" t="s">
        <v>32</v>
      </c>
      <c r="I2" s="3" t="s">
        <v>33</v>
      </c>
      <c r="J2" s="3" t="s">
        <v>32</v>
      </c>
      <c r="K2" s="3" t="s">
        <v>33</v>
      </c>
      <c r="L2" s="4" t="s">
        <v>32</v>
      </c>
      <c r="M2" s="4" t="s">
        <v>33</v>
      </c>
      <c r="N2" s="3" t="s">
        <v>32</v>
      </c>
      <c r="O2" s="3" t="s">
        <v>33</v>
      </c>
      <c r="P2" s="5" t="s">
        <v>34</v>
      </c>
      <c r="Q2" s="5" t="s">
        <v>35</v>
      </c>
      <c r="R2" s="5" t="s">
        <v>36</v>
      </c>
      <c r="S2" s="5" t="s">
        <v>36</v>
      </c>
      <c r="T2" s="5" t="s">
        <v>37</v>
      </c>
      <c r="U2" s="6" t="s">
        <v>32</v>
      </c>
      <c r="V2" s="6" t="s">
        <v>38</v>
      </c>
      <c r="W2" s="5" t="s">
        <v>32</v>
      </c>
      <c r="X2" s="5" t="s">
        <v>38</v>
      </c>
      <c r="Y2" s="5" t="s">
        <v>39</v>
      </c>
      <c r="Z2" s="5" t="s">
        <v>38</v>
      </c>
      <c r="AA2" s="7" t="s">
        <v>32</v>
      </c>
      <c r="AB2" s="7" t="s">
        <v>40</v>
      </c>
      <c r="AC2" s="7" t="s">
        <v>41</v>
      </c>
      <c r="AD2" s="7" t="s">
        <v>33</v>
      </c>
      <c r="AE2" s="2" t="s">
        <v>42</v>
      </c>
      <c r="AF2" s="2" t="s">
        <v>43</v>
      </c>
      <c r="AG2" s="3" t="s">
        <v>42</v>
      </c>
      <c r="AH2" s="3" t="s">
        <v>43</v>
      </c>
      <c r="AI2" s="2" t="s">
        <v>42</v>
      </c>
      <c r="AJ2" s="2" t="s">
        <v>43</v>
      </c>
      <c r="AK2" s="3" t="s">
        <v>44</v>
      </c>
      <c r="AL2" s="3" t="s">
        <v>45</v>
      </c>
      <c r="AM2" s="3" t="s">
        <v>46</v>
      </c>
      <c r="AN2" s="3" t="s">
        <v>47</v>
      </c>
      <c r="AO2" s="3" t="s">
        <v>46</v>
      </c>
      <c r="AP2" s="3" t="s">
        <v>32</v>
      </c>
      <c r="AQ2" s="3" t="s">
        <v>46</v>
      </c>
      <c r="AR2" s="3" t="s">
        <v>32</v>
      </c>
      <c r="AS2" s="3" t="s">
        <v>46</v>
      </c>
      <c r="AT2" s="3" t="s">
        <v>32</v>
      </c>
      <c r="AU2" s="3" t="s">
        <v>46</v>
      </c>
      <c r="AV2" s="3" t="s">
        <v>47</v>
      </c>
      <c r="AW2" s="3" t="s">
        <v>37</v>
      </c>
      <c r="AX2" s="3" t="s">
        <v>47</v>
      </c>
      <c r="AY2" s="3" t="s">
        <v>46</v>
      </c>
      <c r="AZ2" s="3" t="s">
        <v>48</v>
      </c>
      <c r="BA2" s="3" t="s">
        <v>49</v>
      </c>
      <c r="BB2" s="3" t="s">
        <v>50</v>
      </c>
      <c r="BC2" s="3" t="s">
        <v>48</v>
      </c>
      <c r="BD2" s="3" t="s">
        <v>49</v>
      </c>
      <c r="BE2" s="3" t="s">
        <v>50</v>
      </c>
      <c r="BF2" s="39"/>
      <c r="BG2" s="13"/>
      <c r="BH2" s="27" t="s">
        <v>51</v>
      </c>
      <c r="BI2" s="50" t="s">
        <v>52</v>
      </c>
      <c r="BJ2" s="50"/>
      <c r="BK2" s="50"/>
      <c r="BL2" s="50"/>
      <c r="BM2" s="50"/>
      <c r="BN2" s="50"/>
      <c r="BO2" s="50"/>
      <c r="BP2" s="50"/>
      <c r="BQ2" s="50" t="s">
        <v>53</v>
      </c>
      <c r="BR2" s="50"/>
      <c r="BS2" s="50"/>
      <c r="BT2" s="50"/>
      <c r="BU2" s="50"/>
      <c r="BV2" s="50"/>
      <c r="BW2" s="50"/>
      <c r="BX2" s="50"/>
      <c r="BY2" s="50" t="s">
        <v>54</v>
      </c>
      <c r="BZ2" s="50"/>
      <c r="CA2" s="50"/>
      <c r="CB2" s="50"/>
      <c r="CC2" s="50"/>
      <c r="CD2" s="50"/>
      <c r="CE2" s="50"/>
      <c r="CF2" s="50"/>
      <c r="CG2" s="50"/>
      <c r="CH2" s="50"/>
      <c r="CI2" s="27" t="s">
        <v>55</v>
      </c>
      <c r="CJ2" s="26" t="s">
        <v>56</v>
      </c>
      <c r="CK2" s="51" t="s">
        <v>57</v>
      </c>
      <c r="CL2" s="51"/>
      <c r="CM2" s="25" t="s">
        <v>55</v>
      </c>
      <c r="CN2" s="26" t="s">
        <v>58</v>
      </c>
      <c r="CO2" s="25" t="s">
        <v>55</v>
      </c>
      <c r="CP2" s="26" t="s">
        <v>58</v>
      </c>
      <c r="CQ2" s="28" t="s">
        <v>59</v>
      </c>
      <c r="CR2" s="25" t="s">
        <v>55</v>
      </c>
      <c r="CS2" s="26" t="s">
        <v>58</v>
      </c>
      <c r="CT2" s="46"/>
      <c r="CU2" s="47"/>
      <c r="CV2" s="48"/>
    </row>
    <row r="3" spans="1:100" s="14" customFormat="1" ht="31.5" customHeight="1" x14ac:dyDescent="0.25">
      <c r="A3" s="10" t="s">
        <v>60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</v>
      </c>
      <c r="M3" s="8">
        <v>0</v>
      </c>
      <c r="N3" s="8">
        <v>0</v>
      </c>
      <c r="O3" s="8">
        <v>0</v>
      </c>
      <c r="P3" s="9">
        <v>0</v>
      </c>
      <c r="Q3" s="9">
        <v>0</v>
      </c>
      <c r="R3" s="9">
        <v>24</v>
      </c>
      <c r="S3" s="9">
        <v>0</v>
      </c>
      <c r="T3" s="9">
        <v>0</v>
      </c>
      <c r="U3" s="8">
        <v>4423</v>
      </c>
      <c r="V3" s="8">
        <v>1474</v>
      </c>
      <c r="W3" s="9">
        <v>292</v>
      </c>
      <c r="X3" s="9">
        <v>75</v>
      </c>
      <c r="Y3" s="9">
        <v>0</v>
      </c>
      <c r="Z3" s="9">
        <v>0</v>
      </c>
      <c r="AA3" s="8">
        <v>58</v>
      </c>
      <c r="AB3" s="8">
        <v>9</v>
      </c>
      <c r="AC3" s="8">
        <v>5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2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48</v>
      </c>
      <c r="BA3" s="8">
        <v>48</v>
      </c>
      <c r="BB3" s="8">
        <v>48</v>
      </c>
      <c r="BC3" s="8">
        <v>182</v>
      </c>
      <c r="BD3" s="8">
        <v>151</v>
      </c>
      <c r="BE3" s="8">
        <v>151</v>
      </c>
      <c r="BF3" s="15"/>
      <c r="BG3" s="13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>
        <v>58</v>
      </c>
      <c r="CJ3" s="8">
        <v>58</v>
      </c>
      <c r="CK3" s="8">
        <v>49</v>
      </c>
      <c r="CL3" s="8">
        <v>9</v>
      </c>
      <c r="CM3" s="8"/>
      <c r="CN3" s="8"/>
      <c r="CO3" s="8">
        <v>1</v>
      </c>
      <c r="CP3" s="8">
        <v>1</v>
      </c>
      <c r="CQ3" s="8">
        <v>1</v>
      </c>
      <c r="CR3" s="8"/>
      <c r="CS3" s="8"/>
      <c r="CT3" s="23"/>
      <c r="CU3" s="23"/>
      <c r="CV3" s="23"/>
    </row>
    <row r="4" spans="1:100" s="14" customFormat="1" ht="31.5" customHeight="1" x14ac:dyDescent="0.25">
      <c r="A4" s="10" t="s">
        <v>61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8">
        <v>4710</v>
      </c>
      <c r="V4" s="8">
        <v>1644</v>
      </c>
      <c r="W4" s="9">
        <v>299</v>
      </c>
      <c r="X4" s="9">
        <v>67</v>
      </c>
      <c r="Y4" s="9">
        <v>2</v>
      </c>
      <c r="Z4" s="9">
        <v>2</v>
      </c>
      <c r="AA4" s="8">
        <v>82</v>
      </c>
      <c r="AB4" s="8">
        <v>33</v>
      </c>
      <c r="AC4" s="8">
        <v>8</v>
      </c>
      <c r="AD4" s="8">
        <v>0</v>
      </c>
      <c r="AE4" s="8">
        <v>0</v>
      </c>
      <c r="AF4" s="8">
        <v>0</v>
      </c>
      <c r="AG4" s="8">
        <v>3</v>
      </c>
      <c r="AH4" s="8">
        <v>0</v>
      </c>
      <c r="AI4" s="8">
        <v>1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48</v>
      </c>
      <c r="BA4" s="8">
        <v>48</v>
      </c>
      <c r="BB4" s="8">
        <v>48</v>
      </c>
      <c r="BC4" s="8">
        <v>182</v>
      </c>
      <c r="BD4" s="8">
        <v>152</v>
      </c>
      <c r="BE4" s="8">
        <v>151</v>
      </c>
      <c r="BF4" s="23">
        <v>28</v>
      </c>
      <c r="BH4" s="8">
        <v>1</v>
      </c>
      <c r="BI4" s="8">
        <v>1</v>
      </c>
      <c r="BJ4" s="8">
        <v>1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81</v>
      </c>
      <c r="CJ4" s="8">
        <v>48</v>
      </c>
      <c r="CK4" s="8">
        <v>15</v>
      </c>
      <c r="CL4" s="23">
        <v>33</v>
      </c>
      <c r="CM4" s="23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23"/>
      <c r="CU4" s="23"/>
      <c r="CV4" s="23"/>
    </row>
    <row r="5" spans="1:100" s="14" customFormat="1" ht="31.5" customHeight="1" x14ac:dyDescent="0.25">
      <c r="A5" s="10" t="s">
        <v>62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34</v>
      </c>
      <c r="S5" s="8">
        <v>5</v>
      </c>
      <c r="T5" s="8">
        <v>0</v>
      </c>
      <c r="U5" s="8">
        <v>4499</v>
      </c>
      <c r="V5" s="8">
        <v>1228</v>
      </c>
      <c r="W5" s="8">
        <v>234</v>
      </c>
      <c r="X5" s="8">
        <v>57</v>
      </c>
      <c r="Y5" s="8">
        <v>0</v>
      </c>
      <c r="Z5" s="8">
        <v>0</v>
      </c>
      <c r="AA5" s="8">
        <v>86</v>
      </c>
      <c r="AB5" s="8">
        <v>28</v>
      </c>
      <c r="AC5" s="8">
        <v>23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48</v>
      </c>
      <c r="BA5" s="8">
        <v>48</v>
      </c>
      <c r="BB5" s="8">
        <v>48</v>
      </c>
      <c r="BC5" s="8">
        <v>182</v>
      </c>
      <c r="BD5" s="8">
        <v>158</v>
      </c>
      <c r="BE5" s="8">
        <v>153</v>
      </c>
      <c r="BF5" s="8">
        <v>9</v>
      </c>
      <c r="BG5" s="8"/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86</v>
      </c>
      <c r="CJ5" s="8">
        <v>65</v>
      </c>
      <c r="CK5" s="8">
        <v>35</v>
      </c>
      <c r="CL5" s="8">
        <v>30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23"/>
      <c r="CU5" s="23"/>
      <c r="CV5" s="23"/>
    </row>
    <row r="6" spans="1:100" s="14" customFormat="1" ht="31.5" customHeight="1" x14ac:dyDescent="0.25">
      <c r="A6" s="10" t="s">
        <v>63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</v>
      </c>
      <c r="M6" s="8">
        <v>0</v>
      </c>
      <c r="N6" s="8">
        <v>0</v>
      </c>
      <c r="O6" s="8">
        <v>0</v>
      </c>
      <c r="P6" s="9">
        <v>0</v>
      </c>
      <c r="Q6" s="9">
        <v>0</v>
      </c>
      <c r="R6" s="9">
        <v>55</v>
      </c>
      <c r="S6" s="9">
        <v>13</v>
      </c>
      <c r="T6" s="9">
        <v>0</v>
      </c>
      <c r="U6" s="8">
        <v>4232</v>
      </c>
      <c r="V6" s="8">
        <v>1408</v>
      </c>
      <c r="W6" s="9">
        <v>249</v>
      </c>
      <c r="X6" s="9">
        <v>62</v>
      </c>
      <c r="Y6" s="9">
        <v>0</v>
      </c>
      <c r="Z6" s="9">
        <v>0</v>
      </c>
      <c r="AA6" s="8">
        <v>128</v>
      </c>
      <c r="AB6" s="8">
        <v>45</v>
      </c>
      <c r="AC6" s="8">
        <v>13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1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48</v>
      </c>
      <c r="BA6" s="8">
        <v>48</v>
      </c>
      <c r="BB6" s="8">
        <v>48</v>
      </c>
      <c r="BC6" s="8">
        <v>176</v>
      </c>
      <c r="BD6" s="8">
        <v>149</v>
      </c>
      <c r="BE6" s="8">
        <v>149</v>
      </c>
      <c r="BF6" s="13">
        <v>37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128</v>
      </c>
      <c r="CJ6" s="8">
        <v>110</v>
      </c>
      <c r="CK6" s="8">
        <v>81</v>
      </c>
      <c r="CL6" s="8">
        <v>29</v>
      </c>
      <c r="CM6" s="14">
        <v>0</v>
      </c>
      <c r="CN6" s="8">
        <v>0</v>
      </c>
      <c r="CO6" s="8">
        <v>1</v>
      </c>
      <c r="CP6" s="14">
        <v>1</v>
      </c>
      <c r="CQ6" s="8">
        <v>1</v>
      </c>
      <c r="CR6" s="8">
        <v>0</v>
      </c>
      <c r="CS6" s="8">
        <v>0</v>
      </c>
      <c r="CT6" s="23">
        <v>4</v>
      </c>
      <c r="CU6" s="23">
        <v>3</v>
      </c>
      <c r="CV6" s="23">
        <v>3</v>
      </c>
    </row>
    <row r="7" spans="1:100" s="14" customFormat="1" ht="31.5" customHeight="1" x14ac:dyDescent="0.25">
      <c r="A7" s="10" t="s">
        <v>64</v>
      </c>
      <c r="B7" s="8">
        <v>4</v>
      </c>
      <c r="C7" s="8">
        <v>0</v>
      </c>
      <c r="D7" s="8">
        <v>2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9">
        <v>0</v>
      </c>
      <c r="Q7" s="9">
        <v>0</v>
      </c>
      <c r="R7" s="9">
        <v>40</v>
      </c>
      <c r="S7" s="9">
        <v>0</v>
      </c>
      <c r="T7" s="9">
        <v>0</v>
      </c>
      <c r="U7" s="8">
        <v>4251</v>
      </c>
      <c r="V7" s="8">
        <v>1339</v>
      </c>
      <c r="W7" s="9">
        <v>256</v>
      </c>
      <c r="X7" s="9">
        <v>60</v>
      </c>
      <c r="Y7" s="9">
        <v>1</v>
      </c>
      <c r="Z7" s="9">
        <v>0</v>
      </c>
      <c r="AA7" s="8">
        <v>112</v>
      </c>
      <c r="AB7" s="8">
        <v>27</v>
      </c>
      <c r="AC7" s="8">
        <v>8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48</v>
      </c>
      <c r="BA7" s="8">
        <v>48</v>
      </c>
      <c r="BB7" s="8">
        <v>48</v>
      </c>
      <c r="BC7" s="8">
        <v>179</v>
      </c>
      <c r="BD7" s="8">
        <v>160</v>
      </c>
      <c r="BE7" s="8">
        <v>152</v>
      </c>
      <c r="BF7" s="15">
        <v>35</v>
      </c>
      <c r="BG7" s="13"/>
      <c r="BH7" s="8">
        <v>4</v>
      </c>
      <c r="BI7" s="8">
        <v>4</v>
      </c>
      <c r="BJ7" s="8">
        <v>4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112</v>
      </c>
      <c r="CJ7" s="8">
        <v>107</v>
      </c>
      <c r="CK7" s="8">
        <v>83</v>
      </c>
      <c r="CL7" s="8">
        <v>24</v>
      </c>
      <c r="CM7" s="8">
        <v>2</v>
      </c>
      <c r="CN7" s="8">
        <v>2</v>
      </c>
      <c r="CO7" s="8">
        <v>1</v>
      </c>
      <c r="CP7" s="8">
        <v>1</v>
      </c>
      <c r="CQ7" s="8">
        <v>1</v>
      </c>
      <c r="CR7" s="8">
        <v>0</v>
      </c>
      <c r="CS7" s="8">
        <v>0</v>
      </c>
      <c r="CT7" s="23">
        <v>4</v>
      </c>
      <c r="CU7" s="23">
        <v>3</v>
      </c>
      <c r="CV7" s="23">
        <v>3</v>
      </c>
    </row>
    <row r="8" spans="1:100" s="14" customFormat="1" ht="31.5" customHeight="1" x14ac:dyDescent="0.25">
      <c r="A8" s="10" t="s">
        <v>65</v>
      </c>
      <c r="B8" s="8">
        <v>4</v>
      </c>
      <c r="C8" s="8">
        <v>0</v>
      </c>
      <c r="D8" s="8">
        <v>2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9">
        <v>0</v>
      </c>
      <c r="Q8" s="9">
        <v>0</v>
      </c>
      <c r="R8" s="9">
        <v>80</v>
      </c>
      <c r="S8" s="9">
        <v>3</v>
      </c>
      <c r="T8" s="9">
        <v>0</v>
      </c>
      <c r="U8" s="8">
        <v>4170</v>
      </c>
      <c r="V8" s="8">
        <v>1276</v>
      </c>
      <c r="W8" s="9">
        <v>248</v>
      </c>
      <c r="X8" s="9">
        <v>50</v>
      </c>
      <c r="Y8" s="9">
        <v>0</v>
      </c>
      <c r="Z8" s="9">
        <v>0</v>
      </c>
      <c r="AA8" s="8">
        <v>116</v>
      </c>
      <c r="AB8" s="8">
        <v>23</v>
      </c>
      <c r="AC8" s="8">
        <v>5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1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48</v>
      </c>
      <c r="BA8" s="8">
        <v>48</v>
      </c>
      <c r="BB8" s="8">
        <v>48</v>
      </c>
      <c r="BC8" s="8">
        <v>179</v>
      </c>
      <c r="BD8" s="8">
        <v>167</v>
      </c>
      <c r="BE8" s="8">
        <v>166</v>
      </c>
      <c r="BF8" s="15">
        <v>97</v>
      </c>
      <c r="BG8" s="13"/>
      <c r="BH8" s="8">
        <v>4</v>
      </c>
      <c r="BI8" s="8">
        <v>4</v>
      </c>
      <c r="BJ8" s="8">
        <v>4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116</v>
      </c>
      <c r="CJ8" s="8">
        <v>86</v>
      </c>
      <c r="CK8" s="8">
        <v>63</v>
      </c>
      <c r="CL8" s="8">
        <v>23</v>
      </c>
      <c r="CM8" s="8">
        <v>2</v>
      </c>
      <c r="CN8" s="8">
        <v>2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23">
        <v>4</v>
      </c>
      <c r="CU8" s="23">
        <v>4</v>
      </c>
      <c r="CV8" s="23">
        <v>4</v>
      </c>
    </row>
    <row r="9" spans="1:100" s="14" customFormat="1" ht="31.5" customHeight="1" x14ac:dyDescent="0.25">
      <c r="A9" s="10" t="s">
        <v>66</v>
      </c>
      <c r="B9" s="8">
        <v>0</v>
      </c>
      <c r="C9" s="8">
        <v>0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9">
        <v>0</v>
      </c>
      <c r="Q9" s="9">
        <v>0</v>
      </c>
      <c r="R9" s="9">
        <v>93</v>
      </c>
      <c r="S9" s="9">
        <v>0</v>
      </c>
      <c r="T9" s="9">
        <v>0</v>
      </c>
      <c r="U9" s="8">
        <v>4321</v>
      </c>
      <c r="V9" s="8">
        <v>1337</v>
      </c>
      <c r="W9" s="9">
        <v>271</v>
      </c>
      <c r="X9" s="9">
        <v>63</v>
      </c>
      <c r="Y9" s="9">
        <v>1</v>
      </c>
      <c r="Z9" s="9">
        <v>0</v>
      </c>
      <c r="AA9" s="8">
        <v>117</v>
      </c>
      <c r="AB9" s="8">
        <v>25</v>
      </c>
      <c r="AC9" s="8">
        <v>6</v>
      </c>
      <c r="AD9" s="8">
        <v>0</v>
      </c>
      <c r="AE9" s="8">
        <v>1</v>
      </c>
      <c r="AF9" s="8">
        <v>0</v>
      </c>
      <c r="AG9" s="8">
        <v>1</v>
      </c>
      <c r="AH9" s="8">
        <v>0</v>
      </c>
      <c r="AI9" s="8">
        <v>2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48</v>
      </c>
      <c r="BA9" s="8">
        <v>48</v>
      </c>
      <c r="BB9" s="8">
        <v>48</v>
      </c>
      <c r="BC9" s="8">
        <v>179</v>
      </c>
      <c r="BD9" s="8">
        <v>174</v>
      </c>
      <c r="BE9" s="8">
        <v>167</v>
      </c>
      <c r="BF9" s="15">
        <v>78</v>
      </c>
      <c r="BG9" s="13"/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117</v>
      </c>
      <c r="CJ9" s="8">
        <v>78</v>
      </c>
      <c r="CK9" s="8">
        <v>53</v>
      </c>
      <c r="CL9" s="8">
        <v>25</v>
      </c>
      <c r="CM9" s="8">
        <v>1</v>
      </c>
      <c r="CN9" s="8">
        <v>1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23">
        <v>4</v>
      </c>
      <c r="CU9" s="23">
        <v>4</v>
      </c>
      <c r="CV9" s="23">
        <v>4</v>
      </c>
    </row>
    <row r="10" spans="1:100" s="14" customFormat="1" ht="31.5" customHeight="1" x14ac:dyDescent="0.25">
      <c r="A10" s="10" t="s">
        <v>67</v>
      </c>
      <c r="B10" s="8">
        <v>1</v>
      </c>
      <c r="C10" s="8">
        <v>0</v>
      </c>
      <c r="D10" s="8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58</v>
      </c>
      <c r="S10" s="8">
        <v>0</v>
      </c>
      <c r="T10" s="8">
        <v>0</v>
      </c>
      <c r="U10" s="8">
        <v>3915</v>
      </c>
      <c r="V10" s="8">
        <v>1278</v>
      </c>
      <c r="W10" s="8">
        <v>211</v>
      </c>
      <c r="X10" s="8">
        <v>36</v>
      </c>
      <c r="Y10" s="8">
        <v>1</v>
      </c>
      <c r="Z10" s="8">
        <v>0</v>
      </c>
      <c r="AA10" s="8">
        <v>131</v>
      </c>
      <c r="AB10" s="8">
        <v>24</v>
      </c>
      <c r="AC10" s="8">
        <v>11</v>
      </c>
      <c r="AD10" s="8">
        <v>0</v>
      </c>
      <c r="AE10" s="8">
        <v>0</v>
      </c>
      <c r="AF10" s="8">
        <v>0</v>
      </c>
      <c r="AG10" s="8">
        <v>1</v>
      </c>
      <c r="AH10" s="8">
        <v>0</v>
      </c>
      <c r="AI10" s="8">
        <v>3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48</v>
      </c>
      <c r="BA10" s="8">
        <v>48</v>
      </c>
      <c r="BB10" s="8">
        <v>48</v>
      </c>
      <c r="BC10" s="8">
        <v>180</v>
      </c>
      <c r="BD10" s="8">
        <v>176</v>
      </c>
      <c r="BE10" s="8">
        <v>173</v>
      </c>
      <c r="BF10" s="15">
        <v>122</v>
      </c>
      <c r="BG10" s="13"/>
      <c r="BH10" s="8">
        <v>1</v>
      </c>
      <c r="BI10" s="8">
        <v>1</v>
      </c>
      <c r="BJ10" s="8">
        <v>0</v>
      </c>
      <c r="BK10" s="8">
        <v>1</v>
      </c>
      <c r="BL10" s="8">
        <v>1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131</v>
      </c>
      <c r="CJ10" s="8">
        <v>115</v>
      </c>
      <c r="CK10" s="8">
        <v>89</v>
      </c>
      <c r="CL10" s="8">
        <v>26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0</v>
      </c>
      <c r="CS10" s="8">
        <v>0</v>
      </c>
      <c r="CT10" s="23">
        <v>4</v>
      </c>
      <c r="CU10" s="23">
        <v>4</v>
      </c>
      <c r="CV10" s="23">
        <v>4</v>
      </c>
    </row>
    <row r="11" spans="1:100" s="14" customFormat="1" ht="31.5" customHeight="1" x14ac:dyDescent="0.25">
      <c r="A11" s="10" t="s">
        <v>68</v>
      </c>
      <c r="B11" s="8">
        <v>2</v>
      </c>
      <c r="C11" s="8">
        <v>0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80</v>
      </c>
      <c r="S11" s="8">
        <v>0</v>
      </c>
      <c r="T11" s="8">
        <v>0</v>
      </c>
      <c r="U11" s="8">
        <v>3593</v>
      </c>
      <c r="V11" s="8">
        <v>1124</v>
      </c>
      <c r="W11" s="8">
        <v>223</v>
      </c>
      <c r="X11" s="8">
        <v>48</v>
      </c>
      <c r="Y11" s="8">
        <v>0</v>
      </c>
      <c r="Z11" s="8">
        <v>0</v>
      </c>
      <c r="AA11" s="8">
        <v>111</v>
      </c>
      <c r="AB11" s="8">
        <v>16</v>
      </c>
      <c r="AC11" s="8">
        <v>11</v>
      </c>
      <c r="AD11" s="8">
        <v>0</v>
      </c>
      <c r="AE11" s="8">
        <v>0</v>
      </c>
      <c r="AF11" s="8">
        <v>0</v>
      </c>
      <c r="AG11" s="8">
        <v>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48</v>
      </c>
      <c r="BA11" s="8">
        <v>48</v>
      </c>
      <c r="BB11" s="8">
        <v>48</v>
      </c>
      <c r="BC11" s="8">
        <v>180</v>
      </c>
      <c r="BD11" s="8">
        <v>177</v>
      </c>
      <c r="BE11" s="8">
        <v>174</v>
      </c>
      <c r="BF11" s="8">
        <v>124</v>
      </c>
      <c r="BG11" s="8"/>
      <c r="BH11" s="8">
        <v>2</v>
      </c>
      <c r="BI11" s="8">
        <v>2</v>
      </c>
      <c r="BJ11" s="8">
        <v>2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111</v>
      </c>
      <c r="CJ11" s="8">
        <v>101</v>
      </c>
      <c r="CK11" s="8">
        <v>85</v>
      </c>
      <c r="CL11" s="8">
        <v>16</v>
      </c>
      <c r="CM11" s="8">
        <v>1</v>
      </c>
      <c r="CN11" s="8">
        <v>1</v>
      </c>
      <c r="CO11" s="8">
        <v>1</v>
      </c>
      <c r="CP11" s="8">
        <v>0</v>
      </c>
      <c r="CQ11" s="8">
        <v>0</v>
      </c>
      <c r="CR11" s="8">
        <v>0</v>
      </c>
      <c r="CS11" s="8">
        <v>0</v>
      </c>
      <c r="CT11" s="8">
        <v>4</v>
      </c>
      <c r="CU11" s="8">
        <v>4</v>
      </c>
      <c r="CV11" s="8">
        <v>4</v>
      </c>
    </row>
    <row r="12" spans="1:100" s="14" customFormat="1" ht="31.5" customHeight="1" x14ac:dyDescent="0.25">
      <c r="A12" s="10" t="s">
        <v>69</v>
      </c>
      <c r="B12" s="8">
        <v>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>
        <v>0</v>
      </c>
      <c r="Q12" s="9">
        <v>0</v>
      </c>
      <c r="R12" s="9">
        <v>64</v>
      </c>
      <c r="S12" s="9">
        <v>0</v>
      </c>
      <c r="T12" s="9">
        <v>0</v>
      </c>
      <c r="U12" s="8">
        <v>3726</v>
      </c>
      <c r="V12" s="8">
        <v>1299</v>
      </c>
      <c r="W12" s="9">
        <v>232</v>
      </c>
      <c r="X12" s="9">
        <v>59</v>
      </c>
      <c r="Y12" s="9">
        <v>0</v>
      </c>
      <c r="Z12" s="9">
        <v>0</v>
      </c>
      <c r="AA12" s="8">
        <v>117</v>
      </c>
      <c r="AB12" s="8">
        <v>19</v>
      </c>
      <c r="AC12" s="8">
        <v>8</v>
      </c>
      <c r="AD12" s="8">
        <v>0</v>
      </c>
      <c r="AE12" s="8">
        <v>0</v>
      </c>
      <c r="AF12" s="8">
        <v>0</v>
      </c>
      <c r="AG12" s="8">
        <v>7</v>
      </c>
      <c r="AH12" s="8">
        <v>0</v>
      </c>
      <c r="AI12" s="8">
        <v>2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48</v>
      </c>
      <c r="BA12" s="8">
        <v>48</v>
      </c>
      <c r="BB12" s="8">
        <v>48</v>
      </c>
      <c r="BC12" s="8">
        <v>180</v>
      </c>
      <c r="BD12" s="8">
        <v>178</v>
      </c>
      <c r="BE12" s="8">
        <v>177</v>
      </c>
      <c r="BF12" s="15">
        <v>185</v>
      </c>
      <c r="BG12" s="13"/>
      <c r="BH12" s="8">
        <v>2</v>
      </c>
      <c r="BI12" s="15">
        <v>2</v>
      </c>
      <c r="BJ12" s="8">
        <v>2</v>
      </c>
      <c r="BK12" s="8">
        <v>0</v>
      </c>
      <c r="BL12" s="15">
        <v>0</v>
      </c>
      <c r="BM12" s="8">
        <v>0</v>
      </c>
      <c r="BN12" s="8">
        <v>0</v>
      </c>
      <c r="BO12" s="15">
        <v>0</v>
      </c>
      <c r="BP12" s="8">
        <v>0</v>
      </c>
      <c r="BQ12" s="8">
        <v>0</v>
      </c>
      <c r="BR12" s="15">
        <v>0</v>
      </c>
      <c r="BS12" s="8">
        <v>0</v>
      </c>
      <c r="BT12" s="8">
        <v>0</v>
      </c>
      <c r="BU12" s="15">
        <v>0</v>
      </c>
      <c r="BV12" s="8">
        <v>0</v>
      </c>
      <c r="BW12" s="8">
        <v>0</v>
      </c>
      <c r="BX12" s="15">
        <v>0</v>
      </c>
      <c r="BY12" s="8">
        <v>0</v>
      </c>
      <c r="BZ12" s="8">
        <v>0</v>
      </c>
      <c r="CA12" s="15">
        <v>0</v>
      </c>
      <c r="CB12" s="8">
        <v>0</v>
      </c>
      <c r="CC12" s="8">
        <v>0</v>
      </c>
      <c r="CD12" s="15">
        <v>0</v>
      </c>
      <c r="CE12" s="8">
        <v>0</v>
      </c>
      <c r="CF12" s="8">
        <v>0</v>
      </c>
      <c r="CG12" s="15">
        <v>0</v>
      </c>
      <c r="CH12" s="8">
        <v>0</v>
      </c>
      <c r="CI12" s="8">
        <v>117</v>
      </c>
      <c r="CJ12" s="15">
        <v>102</v>
      </c>
      <c r="CK12" s="8">
        <v>83</v>
      </c>
      <c r="CL12" s="8">
        <v>19</v>
      </c>
      <c r="CM12" s="15">
        <v>0</v>
      </c>
      <c r="CN12" s="8">
        <v>0</v>
      </c>
      <c r="CO12" s="8">
        <v>0</v>
      </c>
      <c r="CP12" s="15">
        <v>0</v>
      </c>
      <c r="CQ12" s="8">
        <v>0</v>
      </c>
      <c r="CR12" s="8">
        <v>1</v>
      </c>
      <c r="CS12" s="15">
        <v>1</v>
      </c>
      <c r="CT12" s="23">
        <v>4</v>
      </c>
      <c r="CU12" s="23">
        <v>4</v>
      </c>
      <c r="CV12" s="23">
        <v>4</v>
      </c>
    </row>
    <row r="13" spans="1:100" s="14" customFormat="1" ht="31.5" customHeight="1" x14ac:dyDescent="0.25">
      <c r="A13" s="10" t="s">
        <v>70</v>
      </c>
      <c r="B13" s="8">
        <v>2</v>
      </c>
      <c r="C13" s="8">
        <v>0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9">
        <v>0</v>
      </c>
      <c r="Q13" s="9">
        <v>0</v>
      </c>
      <c r="R13" s="9">
        <v>27</v>
      </c>
      <c r="S13" s="9">
        <v>0</v>
      </c>
      <c r="T13" s="9">
        <v>0</v>
      </c>
      <c r="U13" s="8">
        <v>3151</v>
      </c>
      <c r="V13" s="8">
        <v>1098</v>
      </c>
      <c r="W13" s="9">
        <v>210</v>
      </c>
      <c r="X13" s="9">
        <v>45</v>
      </c>
      <c r="Y13" s="9">
        <v>0</v>
      </c>
      <c r="Z13" s="9">
        <v>0</v>
      </c>
      <c r="AA13" s="8">
        <v>82</v>
      </c>
      <c r="AB13" s="8">
        <v>18</v>
      </c>
      <c r="AC13" s="8">
        <v>7</v>
      </c>
      <c r="AD13" s="8">
        <v>0</v>
      </c>
      <c r="AE13" s="8">
        <v>1</v>
      </c>
      <c r="AF13" s="8">
        <v>0</v>
      </c>
      <c r="AG13" s="8">
        <v>1</v>
      </c>
      <c r="AH13" s="8">
        <v>0</v>
      </c>
      <c r="AI13" s="8">
        <v>4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48</v>
      </c>
      <c r="BA13" s="8">
        <v>48</v>
      </c>
      <c r="BB13" s="8">
        <v>48</v>
      </c>
      <c r="BC13" s="8">
        <v>180</v>
      </c>
      <c r="BD13" s="8">
        <v>178</v>
      </c>
      <c r="BE13" s="8">
        <v>177</v>
      </c>
      <c r="BF13" s="15">
        <v>223</v>
      </c>
      <c r="BG13" s="13"/>
      <c r="BH13" s="8">
        <v>2</v>
      </c>
      <c r="BI13" s="15">
        <v>2</v>
      </c>
      <c r="BJ13" s="8">
        <v>2</v>
      </c>
      <c r="BK13" s="8">
        <v>0</v>
      </c>
      <c r="BL13" s="8">
        <v>0</v>
      </c>
      <c r="BM13" s="15">
        <v>0</v>
      </c>
      <c r="BN13" s="8">
        <v>0</v>
      </c>
      <c r="BO13" s="8">
        <v>0</v>
      </c>
      <c r="BP13" s="8">
        <v>0</v>
      </c>
      <c r="BQ13" s="15">
        <v>0</v>
      </c>
      <c r="BR13" s="8">
        <v>0</v>
      </c>
      <c r="BS13" s="8">
        <v>0</v>
      </c>
      <c r="BT13" s="8">
        <v>0</v>
      </c>
      <c r="BU13" s="15">
        <v>0</v>
      </c>
      <c r="BV13" s="8">
        <v>0</v>
      </c>
      <c r="BW13" s="8">
        <v>0</v>
      </c>
      <c r="BX13" s="8">
        <v>0</v>
      </c>
      <c r="BY13" s="15">
        <v>0</v>
      </c>
      <c r="BZ13" s="8">
        <v>0</v>
      </c>
      <c r="CA13" s="8">
        <v>0</v>
      </c>
      <c r="CB13" s="8">
        <v>0</v>
      </c>
      <c r="CC13" s="15">
        <v>0</v>
      </c>
      <c r="CD13" s="8">
        <v>0</v>
      </c>
      <c r="CE13" s="8">
        <v>0</v>
      </c>
      <c r="CF13" s="8">
        <v>0</v>
      </c>
      <c r="CG13" s="15">
        <v>0</v>
      </c>
      <c r="CH13" s="8">
        <v>0</v>
      </c>
      <c r="CI13" s="8">
        <v>82</v>
      </c>
      <c r="CJ13" s="8">
        <v>78</v>
      </c>
      <c r="CK13" s="8">
        <v>60</v>
      </c>
      <c r="CL13" s="8">
        <v>18</v>
      </c>
      <c r="CM13" s="8">
        <v>1</v>
      </c>
      <c r="CN13" s="8">
        <v>1</v>
      </c>
      <c r="CO13" s="15">
        <v>0</v>
      </c>
      <c r="CP13" s="8">
        <v>0</v>
      </c>
      <c r="CQ13" s="8">
        <v>0</v>
      </c>
      <c r="CR13" s="8">
        <v>0</v>
      </c>
      <c r="CS13" s="15">
        <v>0</v>
      </c>
      <c r="CT13" s="23">
        <v>4</v>
      </c>
      <c r="CU13" s="23">
        <v>4</v>
      </c>
      <c r="CV13" s="23">
        <v>4</v>
      </c>
    </row>
    <row r="14" spans="1:100" s="14" customFormat="1" ht="31.5" customHeight="1" x14ac:dyDescent="0.25">
      <c r="A14" s="10" t="s">
        <v>71</v>
      </c>
      <c r="B14" s="8">
        <v>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0</v>
      </c>
      <c r="L14" s="8">
        <v>1</v>
      </c>
      <c r="M14" s="8">
        <v>0</v>
      </c>
      <c r="N14" s="8">
        <v>0</v>
      </c>
      <c r="O14" s="8">
        <v>0</v>
      </c>
      <c r="P14" s="9">
        <v>0</v>
      </c>
      <c r="Q14" s="9">
        <v>0</v>
      </c>
      <c r="R14" s="9">
        <v>44</v>
      </c>
      <c r="S14" s="9">
        <v>0</v>
      </c>
      <c r="T14" s="9">
        <v>0</v>
      </c>
      <c r="U14" s="8">
        <v>2994</v>
      </c>
      <c r="V14" s="8">
        <v>1083</v>
      </c>
      <c r="W14" s="9">
        <v>201</v>
      </c>
      <c r="X14" s="9">
        <v>49</v>
      </c>
      <c r="Y14" s="9">
        <v>0</v>
      </c>
      <c r="Z14" s="9">
        <v>0</v>
      </c>
      <c r="AA14" s="8">
        <v>64</v>
      </c>
      <c r="AB14" s="8">
        <v>13</v>
      </c>
      <c r="AC14" s="8">
        <v>3</v>
      </c>
      <c r="AD14" s="8">
        <v>0</v>
      </c>
      <c r="AE14" s="8">
        <v>0</v>
      </c>
      <c r="AF14" s="8">
        <v>0</v>
      </c>
      <c r="AG14" s="8">
        <v>2</v>
      </c>
      <c r="AH14" s="8">
        <v>0</v>
      </c>
      <c r="AI14" s="8">
        <v>7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48</v>
      </c>
      <c r="BA14" s="8">
        <v>48</v>
      </c>
      <c r="BB14" s="8">
        <v>48</v>
      </c>
      <c r="BC14" s="8">
        <v>179</v>
      </c>
      <c r="BD14" s="8">
        <v>175</v>
      </c>
      <c r="BE14" s="8">
        <v>175</v>
      </c>
      <c r="BF14" s="15">
        <v>164</v>
      </c>
      <c r="BG14" s="13"/>
      <c r="BH14" s="8">
        <v>6</v>
      </c>
      <c r="BI14" s="15">
        <v>6</v>
      </c>
      <c r="BJ14" s="8">
        <v>6</v>
      </c>
      <c r="BK14" s="8">
        <v>0</v>
      </c>
      <c r="BL14" s="8">
        <v>0</v>
      </c>
      <c r="BM14" s="15">
        <v>0</v>
      </c>
      <c r="BN14" s="8">
        <v>0</v>
      </c>
      <c r="BO14" s="8">
        <v>0</v>
      </c>
      <c r="BP14" s="8">
        <v>0</v>
      </c>
      <c r="BQ14" s="15">
        <v>0</v>
      </c>
      <c r="BR14" s="8">
        <v>0</v>
      </c>
      <c r="BS14" s="8">
        <v>0</v>
      </c>
      <c r="BT14" s="8">
        <v>0</v>
      </c>
      <c r="BU14" s="15">
        <v>0</v>
      </c>
      <c r="BV14" s="8">
        <v>0</v>
      </c>
      <c r="BW14" s="8">
        <v>0</v>
      </c>
      <c r="BX14" s="8">
        <v>0</v>
      </c>
      <c r="BY14" s="15">
        <v>0</v>
      </c>
      <c r="BZ14" s="8">
        <v>0</v>
      </c>
      <c r="CA14" s="8">
        <v>0</v>
      </c>
      <c r="CB14" s="8">
        <v>0</v>
      </c>
      <c r="CC14" s="15">
        <v>0</v>
      </c>
      <c r="CD14" s="8">
        <v>0</v>
      </c>
      <c r="CE14" s="8">
        <v>0</v>
      </c>
      <c r="CF14" s="8">
        <v>0</v>
      </c>
      <c r="CG14" s="15">
        <v>0</v>
      </c>
      <c r="CH14" s="8">
        <v>0</v>
      </c>
      <c r="CI14" s="8">
        <v>63</v>
      </c>
      <c r="CJ14" s="8">
        <v>56</v>
      </c>
      <c r="CK14" s="15">
        <v>34</v>
      </c>
      <c r="CL14" s="8">
        <v>22</v>
      </c>
      <c r="CM14" s="8">
        <v>0</v>
      </c>
      <c r="CN14" s="8">
        <v>0</v>
      </c>
      <c r="CO14" s="15">
        <v>0</v>
      </c>
      <c r="CP14" s="8">
        <v>0</v>
      </c>
      <c r="CQ14" s="8">
        <v>0</v>
      </c>
      <c r="CR14" s="8">
        <v>1</v>
      </c>
      <c r="CS14" s="15">
        <v>1</v>
      </c>
      <c r="CT14" s="8">
        <v>4</v>
      </c>
      <c r="CU14" s="8">
        <v>4</v>
      </c>
      <c r="CV14" s="8">
        <v>4</v>
      </c>
    </row>
    <row r="15" spans="1:100" s="14" customFormat="1" ht="31.5" customHeight="1" x14ac:dyDescent="0.25">
      <c r="A15" s="10" t="s">
        <v>72</v>
      </c>
      <c r="B15" s="8">
        <v>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9">
        <v>0</v>
      </c>
      <c r="Q15" s="9">
        <v>0</v>
      </c>
      <c r="R15" s="9">
        <v>45</v>
      </c>
      <c r="S15" s="9">
        <v>0</v>
      </c>
      <c r="T15" s="9">
        <v>0</v>
      </c>
      <c r="U15" s="8">
        <v>2859</v>
      </c>
      <c r="V15" s="8">
        <v>999</v>
      </c>
      <c r="W15" s="9">
        <v>182</v>
      </c>
      <c r="X15" s="9">
        <v>31</v>
      </c>
      <c r="Y15" s="9">
        <v>1</v>
      </c>
      <c r="Z15" s="9">
        <v>0</v>
      </c>
      <c r="AA15" s="8">
        <v>58</v>
      </c>
      <c r="AB15" s="8">
        <v>16</v>
      </c>
      <c r="AC15" s="8">
        <v>9</v>
      </c>
      <c r="AD15" s="8">
        <v>0</v>
      </c>
      <c r="AE15" s="8">
        <v>1</v>
      </c>
      <c r="AF15" s="8">
        <v>0</v>
      </c>
      <c r="AG15" s="8">
        <v>2</v>
      </c>
      <c r="AH15" s="8">
        <v>0</v>
      </c>
      <c r="AI15" s="8">
        <v>5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48</v>
      </c>
      <c r="BA15" s="8">
        <v>48</v>
      </c>
      <c r="BB15" s="8">
        <v>48</v>
      </c>
      <c r="BC15" s="8">
        <v>179</v>
      </c>
      <c r="BD15" s="8">
        <v>177</v>
      </c>
      <c r="BE15" s="8">
        <v>157</v>
      </c>
      <c r="BF15" s="15">
        <v>178</v>
      </c>
      <c r="BG15" s="13"/>
      <c r="BH15" s="8">
        <v>3</v>
      </c>
      <c r="BI15" s="8">
        <v>3</v>
      </c>
      <c r="BJ15" s="8">
        <v>3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38</v>
      </c>
      <c r="CJ15" s="23">
        <v>35</v>
      </c>
      <c r="CK15" s="8">
        <v>25</v>
      </c>
      <c r="CL15" s="8">
        <v>10</v>
      </c>
      <c r="CM15" s="23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23">
        <v>4</v>
      </c>
      <c r="CU15" s="23">
        <v>3</v>
      </c>
      <c r="CV15" s="23">
        <v>3</v>
      </c>
    </row>
    <row r="16" spans="1:100" s="14" customFormat="1" ht="31.5" customHeight="1" x14ac:dyDescent="0.25">
      <c r="A16" s="10" t="s">
        <v>73</v>
      </c>
      <c r="B16" s="8">
        <v>1</v>
      </c>
      <c r="C16" s="8">
        <v>0</v>
      </c>
      <c r="D16" s="8">
        <v>2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</v>
      </c>
      <c r="M16" s="8">
        <v>0</v>
      </c>
      <c r="N16" s="8">
        <v>0</v>
      </c>
      <c r="O16" s="8">
        <v>0</v>
      </c>
      <c r="P16" s="9">
        <v>0</v>
      </c>
      <c r="Q16" s="9">
        <v>0</v>
      </c>
      <c r="R16" s="9">
        <v>80</v>
      </c>
      <c r="S16" s="9">
        <v>0</v>
      </c>
      <c r="T16" s="9">
        <v>0</v>
      </c>
      <c r="U16" s="8">
        <v>2945</v>
      </c>
      <c r="V16" s="8">
        <v>897</v>
      </c>
      <c r="W16" s="9">
        <v>232</v>
      </c>
      <c r="X16" s="9">
        <v>47</v>
      </c>
      <c r="Y16" s="9">
        <v>0</v>
      </c>
      <c r="Z16" s="9">
        <v>0</v>
      </c>
      <c r="AA16" s="8">
        <v>47</v>
      </c>
      <c r="AB16" s="8">
        <v>11</v>
      </c>
      <c r="AC16" s="8">
        <v>6</v>
      </c>
      <c r="AD16" s="8">
        <v>0</v>
      </c>
      <c r="AE16" s="8">
        <v>0</v>
      </c>
      <c r="AF16" s="8">
        <v>0</v>
      </c>
      <c r="AG16" s="8">
        <v>4</v>
      </c>
      <c r="AH16" s="8">
        <v>0</v>
      </c>
      <c r="AI16" s="8">
        <v>5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48</v>
      </c>
      <c r="BA16" s="8">
        <v>48</v>
      </c>
      <c r="BB16" s="8">
        <v>48</v>
      </c>
      <c r="BC16" s="8">
        <v>180</v>
      </c>
      <c r="BD16" s="8">
        <v>179</v>
      </c>
      <c r="BE16" s="8">
        <v>177</v>
      </c>
      <c r="BF16" s="15">
        <v>187</v>
      </c>
      <c r="BG16" s="13"/>
      <c r="BH16" s="8">
        <v>0</v>
      </c>
      <c r="BI16" s="15">
        <v>0</v>
      </c>
      <c r="BJ16" s="8">
        <v>0</v>
      </c>
      <c r="BK16" s="15">
        <v>0</v>
      </c>
      <c r="BL16" s="8">
        <v>0</v>
      </c>
      <c r="BM16" s="15">
        <v>0</v>
      </c>
      <c r="BN16" s="8">
        <v>0</v>
      </c>
      <c r="BO16" s="15">
        <v>0</v>
      </c>
      <c r="BP16" s="8">
        <v>0</v>
      </c>
      <c r="BQ16" s="15">
        <v>0</v>
      </c>
      <c r="BR16" s="8">
        <v>0</v>
      </c>
      <c r="BS16" s="15">
        <v>0</v>
      </c>
      <c r="BT16" s="8">
        <v>0</v>
      </c>
      <c r="BU16" s="15">
        <v>0</v>
      </c>
      <c r="BV16" s="8">
        <v>0</v>
      </c>
      <c r="BW16" s="15">
        <v>0</v>
      </c>
      <c r="BX16" s="8">
        <v>0</v>
      </c>
      <c r="BY16" s="15">
        <v>0</v>
      </c>
      <c r="BZ16" s="8">
        <v>0</v>
      </c>
      <c r="CA16" s="15">
        <v>0</v>
      </c>
      <c r="CB16" s="8">
        <v>0</v>
      </c>
      <c r="CC16" s="15">
        <v>0</v>
      </c>
      <c r="CD16" s="8">
        <v>0</v>
      </c>
      <c r="CE16" s="15">
        <v>0</v>
      </c>
      <c r="CF16" s="8">
        <v>0</v>
      </c>
      <c r="CG16" s="15">
        <v>0</v>
      </c>
      <c r="CH16" s="8">
        <v>0</v>
      </c>
      <c r="CI16" s="15">
        <v>47</v>
      </c>
      <c r="CJ16" s="23">
        <v>46</v>
      </c>
      <c r="CK16" s="8">
        <v>35</v>
      </c>
      <c r="CL16" s="15">
        <v>11</v>
      </c>
      <c r="CM16" s="23">
        <v>2</v>
      </c>
      <c r="CN16" s="8">
        <v>2</v>
      </c>
      <c r="CO16" s="8">
        <v>2</v>
      </c>
      <c r="CP16" s="15">
        <v>2</v>
      </c>
      <c r="CQ16" s="15">
        <v>2</v>
      </c>
      <c r="CR16" s="8">
        <v>0</v>
      </c>
      <c r="CS16" s="8">
        <v>0</v>
      </c>
      <c r="CT16" s="23">
        <v>4</v>
      </c>
      <c r="CU16" s="23">
        <v>4</v>
      </c>
      <c r="CV16" s="23">
        <v>4</v>
      </c>
    </row>
    <row r="17" spans="1:100" s="14" customFormat="1" ht="31.5" customHeight="1" x14ac:dyDescent="0.25">
      <c r="A17" s="10" t="s">
        <v>74</v>
      </c>
      <c r="B17" s="8">
        <v>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9">
        <v>0</v>
      </c>
      <c r="Q17" s="9">
        <v>0</v>
      </c>
      <c r="R17" s="9">
        <v>49</v>
      </c>
      <c r="S17" s="9">
        <v>0</v>
      </c>
      <c r="T17" s="9">
        <v>0</v>
      </c>
      <c r="U17" s="8">
        <v>2640</v>
      </c>
      <c r="V17" s="8">
        <v>776</v>
      </c>
      <c r="W17" s="9">
        <v>172</v>
      </c>
      <c r="X17" s="9">
        <v>41</v>
      </c>
      <c r="Y17" s="9">
        <v>0</v>
      </c>
      <c r="Z17" s="9">
        <v>0</v>
      </c>
      <c r="AA17" s="8">
        <v>79</v>
      </c>
      <c r="AB17" s="8">
        <v>11</v>
      </c>
      <c r="AC17" s="8">
        <v>10</v>
      </c>
      <c r="AD17" s="8">
        <v>0</v>
      </c>
      <c r="AE17" s="8">
        <v>0</v>
      </c>
      <c r="AF17" s="8">
        <v>0</v>
      </c>
      <c r="AG17" s="8">
        <v>2</v>
      </c>
      <c r="AH17" s="8">
        <v>0</v>
      </c>
      <c r="AI17" s="8">
        <v>4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48</v>
      </c>
      <c r="BA17" s="8">
        <v>48</v>
      </c>
      <c r="BB17" s="8">
        <v>48</v>
      </c>
      <c r="BC17" s="8">
        <v>180</v>
      </c>
      <c r="BD17" s="8">
        <v>180</v>
      </c>
      <c r="BE17" s="8">
        <v>179</v>
      </c>
      <c r="BF17" s="15">
        <v>148</v>
      </c>
      <c r="BG17" s="13"/>
      <c r="BH17" s="8">
        <v>2</v>
      </c>
      <c r="BI17" s="15">
        <v>2</v>
      </c>
      <c r="BJ17" s="8">
        <v>2</v>
      </c>
      <c r="BK17" s="15">
        <v>0</v>
      </c>
      <c r="BL17" s="8">
        <v>0</v>
      </c>
      <c r="BM17" s="15">
        <v>0</v>
      </c>
      <c r="BN17" s="8">
        <v>0</v>
      </c>
      <c r="BO17" s="15">
        <v>0</v>
      </c>
      <c r="BP17" s="8">
        <v>0</v>
      </c>
      <c r="BQ17" s="15">
        <v>0</v>
      </c>
      <c r="BR17" s="8">
        <v>0</v>
      </c>
      <c r="BS17" s="15">
        <v>0</v>
      </c>
      <c r="BT17" s="8">
        <v>0</v>
      </c>
      <c r="BU17" s="15">
        <v>0</v>
      </c>
      <c r="BV17" s="8">
        <v>0</v>
      </c>
      <c r="BW17" s="15">
        <v>0</v>
      </c>
      <c r="BX17" s="8">
        <v>0</v>
      </c>
      <c r="BY17" s="15">
        <v>0</v>
      </c>
      <c r="BZ17" s="8">
        <v>0</v>
      </c>
      <c r="CA17" s="15">
        <v>0</v>
      </c>
      <c r="CB17" s="8">
        <v>0</v>
      </c>
      <c r="CC17" s="15">
        <v>0</v>
      </c>
      <c r="CD17" s="8">
        <v>0</v>
      </c>
      <c r="CE17" s="15">
        <v>0</v>
      </c>
      <c r="CF17" s="8">
        <v>0</v>
      </c>
      <c r="CG17" s="15">
        <v>0</v>
      </c>
      <c r="CH17" s="8">
        <v>0</v>
      </c>
      <c r="CI17" s="15">
        <v>77</v>
      </c>
      <c r="CJ17" s="23">
        <v>63</v>
      </c>
      <c r="CK17" s="8">
        <v>52</v>
      </c>
      <c r="CL17" s="15">
        <v>11</v>
      </c>
      <c r="CM17" s="23">
        <v>0</v>
      </c>
      <c r="CN17" s="8">
        <v>0</v>
      </c>
      <c r="CO17" s="8">
        <v>0</v>
      </c>
      <c r="CP17" s="15">
        <v>0</v>
      </c>
      <c r="CQ17" s="15">
        <v>0</v>
      </c>
      <c r="CR17" s="8">
        <v>0</v>
      </c>
      <c r="CS17" s="8">
        <v>0</v>
      </c>
      <c r="CT17" s="23">
        <v>4</v>
      </c>
      <c r="CU17" s="23">
        <v>4</v>
      </c>
      <c r="CV17" s="23">
        <v>4</v>
      </c>
    </row>
    <row r="18" spans="1:100" s="14" customFormat="1" ht="31.5" customHeight="1" x14ac:dyDescent="0.25">
      <c r="A18" s="10" t="s">
        <v>75</v>
      </c>
      <c r="B18" s="8">
        <v>1</v>
      </c>
      <c r="C18" s="8">
        <v>0</v>
      </c>
      <c r="D18" s="8">
        <v>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9">
        <v>0</v>
      </c>
      <c r="Q18" s="9">
        <v>0</v>
      </c>
      <c r="R18" s="9">
        <v>48</v>
      </c>
      <c r="S18" s="9">
        <v>0</v>
      </c>
      <c r="T18" s="9">
        <v>0</v>
      </c>
      <c r="U18" s="8">
        <v>2773</v>
      </c>
      <c r="V18" s="8">
        <v>886</v>
      </c>
      <c r="W18" s="9">
        <v>230</v>
      </c>
      <c r="X18" s="9">
        <v>42</v>
      </c>
      <c r="Y18" s="9">
        <v>0</v>
      </c>
      <c r="Z18" s="9">
        <v>0</v>
      </c>
      <c r="AA18" s="8">
        <v>71</v>
      </c>
      <c r="AB18" s="8">
        <v>22</v>
      </c>
      <c r="AC18" s="8">
        <v>8</v>
      </c>
      <c r="AD18" s="8">
        <v>0</v>
      </c>
      <c r="AE18" s="8">
        <v>0</v>
      </c>
      <c r="AF18" s="8">
        <v>0</v>
      </c>
      <c r="AG18" s="8">
        <v>4</v>
      </c>
      <c r="AH18" s="8">
        <v>0</v>
      </c>
      <c r="AI18" s="8">
        <v>7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48</v>
      </c>
      <c r="BA18" s="8">
        <v>48</v>
      </c>
      <c r="BB18" s="8">
        <v>48</v>
      </c>
      <c r="BC18" s="8">
        <v>180</v>
      </c>
      <c r="BD18" s="8">
        <v>180</v>
      </c>
      <c r="BE18" s="8">
        <v>177</v>
      </c>
      <c r="BF18" s="15">
        <v>215</v>
      </c>
      <c r="BG18" s="13"/>
      <c r="BH18" s="8">
        <v>1</v>
      </c>
      <c r="BI18" s="15">
        <v>1</v>
      </c>
      <c r="BJ18" s="8">
        <v>1</v>
      </c>
      <c r="BK18" s="15">
        <v>0</v>
      </c>
      <c r="BL18" s="8">
        <v>0</v>
      </c>
      <c r="BM18" s="15">
        <v>0</v>
      </c>
      <c r="BN18" s="8">
        <v>0</v>
      </c>
      <c r="BO18" s="15">
        <v>0</v>
      </c>
      <c r="BP18" s="8">
        <v>0</v>
      </c>
      <c r="BQ18" s="15">
        <v>0</v>
      </c>
      <c r="BR18" s="8">
        <v>0</v>
      </c>
      <c r="BS18" s="15">
        <v>0</v>
      </c>
      <c r="BT18" s="8">
        <v>0</v>
      </c>
      <c r="BU18" s="15">
        <v>0</v>
      </c>
      <c r="BV18" s="8">
        <v>0</v>
      </c>
      <c r="BW18" s="15">
        <v>0</v>
      </c>
      <c r="BX18" s="8">
        <v>0</v>
      </c>
      <c r="BY18" s="15">
        <v>0</v>
      </c>
      <c r="BZ18" s="8">
        <v>0</v>
      </c>
      <c r="CA18" s="15">
        <v>0</v>
      </c>
      <c r="CB18" s="8">
        <v>0</v>
      </c>
      <c r="CC18" s="15">
        <v>0</v>
      </c>
      <c r="CD18" s="8">
        <v>0</v>
      </c>
      <c r="CE18" s="15">
        <v>0</v>
      </c>
      <c r="CF18" s="8">
        <v>0</v>
      </c>
      <c r="CG18" s="15">
        <v>0</v>
      </c>
      <c r="CH18" s="8">
        <v>0</v>
      </c>
      <c r="CI18" s="15">
        <v>66</v>
      </c>
      <c r="CJ18" s="23">
        <v>54</v>
      </c>
      <c r="CK18" s="8">
        <v>37</v>
      </c>
      <c r="CL18" s="15">
        <v>16</v>
      </c>
      <c r="CM18" s="23">
        <v>2</v>
      </c>
      <c r="CN18" s="8">
        <v>1</v>
      </c>
      <c r="CO18" s="8">
        <v>0</v>
      </c>
      <c r="CP18" s="15">
        <v>0</v>
      </c>
      <c r="CQ18" s="15">
        <v>0</v>
      </c>
      <c r="CR18" s="8">
        <v>0</v>
      </c>
      <c r="CS18" s="15">
        <v>0</v>
      </c>
      <c r="CT18" s="23">
        <v>4</v>
      </c>
      <c r="CU18" s="23">
        <v>3</v>
      </c>
      <c r="CV18" s="23">
        <v>3</v>
      </c>
    </row>
    <row r="19" spans="1:100" s="14" customFormat="1" ht="31.5" customHeight="1" x14ac:dyDescent="0.25">
      <c r="A19" s="10" t="s">
        <v>76</v>
      </c>
      <c r="B19" s="8">
        <v>0</v>
      </c>
      <c r="C19" s="8">
        <v>0</v>
      </c>
      <c r="D19" s="8">
        <v>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9">
        <v>0</v>
      </c>
      <c r="Q19" s="9">
        <v>0</v>
      </c>
      <c r="R19" s="9">
        <v>49</v>
      </c>
      <c r="S19" s="9">
        <v>0</v>
      </c>
      <c r="T19" s="9">
        <v>0</v>
      </c>
      <c r="U19" s="8">
        <v>2914</v>
      </c>
      <c r="V19" s="8">
        <v>919</v>
      </c>
      <c r="W19" s="9">
        <v>204</v>
      </c>
      <c r="X19" s="9">
        <v>57</v>
      </c>
      <c r="Y19" s="9">
        <v>0</v>
      </c>
      <c r="Z19" s="9">
        <v>0</v>
      </c>
      <c r="AA19" s="8">
        <v>57</v>
      </c>
      <c r="AB19" s="8">
        <v>14</v>
      </c>
      <c r="AC19" s="8">
        <v>4</v>
      </c>
      <c r="AD19" s="8">
        <v>0</v>
      </c>
      <c r="AE19" s="8">
        <v>1</v>
      </c>
      <c r="AF19" s="8">
        <v>0</v>
      </c>
      <c r="AG19" s="8">
        <v>2</v>
      </c>
      <c r="AH19" s="8">
        <v>0</v>
      </c>
      <c r="AI19" s="8">
        <v>3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48</v>
      </c>
      <c r="BA19" s="8">
        <v>48</v>
      </c>
      <c r="BB19" s="8">
        <v>48</v>
      </c>
      <c r="BC19" s="8">
        <v>181</v>
      </c>
      <c r="BD19" s="8">
        <v>181</v>
      </c>
      <c r="BE19" s="8">
        <v>180</v>
      </c>
      <c r="BF19" s="15">
        <v>167</v>
      </c>
      <c r="BG19" s="13">
        <v>0</v>
      </c>
      <c r="BH19" s="8">
        <v>0</v>
      </c>
      <c r="BI19" s="15">
        <v>0</v>
      </c>
      <c r="BJ19" s="8">
        <v>0</v>
      </c>
      <c r="BK19" s="15">
        <v>0</v>
      </c>
      <c r="BL19" s="8">
        <v>0</v>
      </c>
      <c r="BM19" s="15">
        <v>0</v>
      </c>
      <c r="BN19" s="8">
        <v>0</v>
      </c>
      <c r="BO19" s="15">
        <v>0</v>
      </c>
      <c r="BP19" s="8">
        <v>0</v>
      </c>
      <c r="BQ19" s="15">
        <v>0</v>
      </c>
      <c r="BR19" s="8">
        <v>0</v>
      </c>
      <c r="BS19" s="15">
        <v>0</v>
      </c>
      <c r="BT19" s="8">
        <v>0</v>
      </c>
      <c r="BU19" s="15">
        <v>0</v>
      </c>
      <c r="BV19" s="8">
        <v>0</v>
      </c>
      <c r="BW19" s="15">
        <v>0</v>
      </c>
      <c r="BX19" s="8">
        <v>0</v>
      </c>
      <c r="BY19" s="15">
        <v>0</v>
      </c>
      <c r="BZ19" s="8">
        <v>0</v>
      </c>
      <c r="CA19" s="15">
        <v>0</v>
      </c>
      <c r="CB19" s="8">
        <v>0</v>
      </c>
      <c r="CC19" s="15">
        <v>0</v>
      </c>
      <c r="CD19" s="8">
        <v>0</v>
      </c>
      <c r="CE19" s="15">
        <v>0</v>
      </c>
      <c r="CF19" s="8">
        <v>0</v>
      </c>
      <c r="CG19" s="15">
        <v>0</v>
      </c>
      <c r="CH19" s="8">
        <v>0</v>
      </c>
      <c r="CI19" s="15">
        <v>57</v>
      </c>
      <c r="CJ19" s="23">
        <v>56</v>
      </c>
      <c r="CK19" s="8">
        <v>42</v>
      </c>
      <c r="CL19" s="15">
        <v>14</v>
      </c>
      <c r="CM19" s="23">
        <v>2</v>
      </c>
      <c r="CN19" s="8">
        <v>2</v>
      </c>
      <c r="CO19" s="8">
        <v>0</v>
      </c>
      <c r="CP19" s="15">
        <v>0</v>
      </c>
      <c r="CQ19" s="15">
        <v>0</v>
      </c>
      <c r="CR19" s="8">
        <v>0</v>
      </c>
      <c r="CS19" s="15">
        <v>0</v>
      </c>
      <c r="CT19" s="23">
        <v>4</v>
      </c>
      <c r="CU19" s="23">
        <v>4</v>
      </c>
      <c r="CV19" s="23">
        <v>4</v>
      </c>
    </row>
    <row r="20" spans="1:100" s="14" customFormat="1" ht="31.5" customHeight="1" x14ac:dyDescent="0.25">
      <c r="A20" s="10" t="s">
        <v>77</v>
      </c>
      <c r="B20" s="8">
        <v>1</v>
      </c>
      <c r="C20" s="8">
        <v>0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0</v>
      </c>
      <c r="N20" s="8">
        <v>0</v>
      </c>
      <c r="O20" s="8">
        <v>0</v>
      </c>
      <c r="P20" s="9">
        <v>0</v>
      </c>
      <c r="Q20" s="9">
        <v>0</v>
      </c>
      <c r="R20" s="9">
        <v>59</v>
      </c>
      <c r="S20" s="9">
        <v>0</v>
      </c>
      <c r="T20" s="9">
        <v>0</v>
      </c>
      <c r="U20" s="8">
        <v>2293</v>
      </c>
      <c r="V20" s="8">
        <v>647</v>
      </c>
      <c r="W20" s="9">
        <v>171</v>
      </c>
      <c r="X20" s="9">
        <v>40</v>
      </c>
      <c r="Y20" s="9">
        <v>0</v>
      </c>
      <c r="Z20" s="9">
        <v>0</v>
      </c>
      <c r="AA20" s="8">
        <v>72</v>
      </c>
      <c r="AB20" s="8">
        <v>21</v>
      </c>
      <c r="AC20" s="8">
        <v>5</v>
      </c>
      <c r="AD20" s="8">
        <v>0</v>
      </c>
      <c r="AE20" s="8">
        <v>0</v>
      </c>
      <c r="AF20" s="8">
        <v>0</v>
      </c>
      <c r="AG20" s="8">
        <v>3</v>
      </c>
      <c r="AH20" s="8">
        <v>0</v>
      </c>
      <c r="AI20" s="8">
        <v>3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49</v>
      </c>
      <c r="BA20" s="8">
        <v>49</v>
      </c>
      <c r="BB20" s="8">
        <v>49</v>
      </c>
      <c r="BC20" s="8">
        <v>182</v>
      </c>
      <c r="BD20" s="8">
        <v>182</v>
      </c>
      <c r="BE20" s="8">
        <v>180</v>
      </c>
      <c r="BF20" s="15">
        <v>161</v>
      </c>
      <c r="BG20" s="13"/>
      <c r="BH20" s="8">
        <v>1</v>
      </c>
      <c r="BI20" s="15">
        <v>1</v>
      </c>
      <c r="BJ20" s="8">
        <v>1</v>
      </c>
      <c r="BK20" s="15">
        <v>0</v>
      </c>
      <c r="BL20" s="8">
        <v>0</v>
      </c>
      <c r="BM20" s="15">
        <v>0</v>
      </c>
      <c r="BN20" s="8">
        <v>0</v>
      </c>
      <c r="BO20" s="15">
        <v>0</v>
      </c>
      <c r="BP20" s="8">
        <v>0</v>
      </c>
      <c r="BQ20" s="15">
        <v>0</v>
      </c>
      <c r="BR20" s="8">
        <v>0</v>
      </c>
      <c r="BS20" s="15">
        <v>0</v>
      </c>
      <c r="BT20" s="8">
        <v>0</v>
      </c>
      <c r="BU20" s="15">
        <v>0</v>
      </c>
      <c r="BV20" s="8">
        <v>0</v>
      </c>
      <c r="BW20" s="15">
        <v>0</v>
      </c>
      <c r="BX20" s="8">
        <v>0</v>
      </c>
      <c r="BY20" s="15">
        <v>0</v>
      </c>
      <c r="BZ20" s="8">
        <v>0</v>
      </c>
      <c r="CA20" s="15">
        <v>0</v>
      </c>
      <c r="CB20" s="8">
        <v>0</v>
      </c>
      <c r="CC20" s="15">
        <v>0</v>
      </c>
      <c r="CD20" s="8">
        <v>0</v>
      </c>
      <c r="CE20" s="15">
        <v>0</v>
      </c>
      <c r="CF20" s="8">
        <v>0</v>
      </c>
      <c r="CG20" s="15">
        <v>0</v>
      </c>
      <c r="CH20" s="8">
        <v>0</v>
      </c>
      <c r="CI20" s="15">
        <v>72</v>
      </c>
      <c r="CJ20" s="23">
        <v>70</v>
      </c>
      <c r="CK20" s="8">
        <v>49</v>
      </c>
      <c r="CL20" s="15">
        <v>21</v>
      </c>
      <c r="CM20" s="23">
        <v>1</v>
      </c>
      <c r="CN20" s="8">
        <v>1</v>
      </c>
      <c r="CO20" s="8">
        <v>1</v>
      </c>
      <c r="CP20" s="15">
        <v>1</v>
      </c>
      <c r="CQ20" s="15">
        <v>1</v>
      </c>
      <c r="CR20" s="8">
        <v>0</v>
      </c>
      <c r="CS20" s="15">
        <v>0</v>
      </c>
      <c r="CT20" s="23">
        <v>4</v>
      </c>
      <c r="CU20" s="23">
        <v>4</v>
      </c>
      <c r="CV20" s="23">
        <v>4</v>
      </c>
    </row>
    <row r="21" spans="1:100" s="14" customFormat="1" ht="31.5" customHeight="1" x14ac:dyDescent="0.25">
      <c r="A21" s="10" t="s">
        <v>78</v>
      </c>
      <c r="B21" s="8">
        <v>3</v>
      </c>
      <c r="C21" s="8">
        <v>0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8">
        <v>0</v>
      </c>
      <c r="N21" s="8">
        <v>0</v>
      </c>
      <c r="O21" s="8">
        <v>0</v>
      </c>
      <c r="P21" s="9">
        <v>0</v>
      </c>
      <c r="Q21" s="9">
        <v>0</v>
      </c>
      <c r="R21" s="9">
        <v>51</v>
      </c>
      <c r="S21" s="9">
        <v>0</v>
      </c>
      <c r="T21" s="9">
        <v>0</v>
      </c>
      <c r="U21" s="8">
        <v>2525</v>
      </c>
      <c r="V21" s="8">
        <v>786</v>
      </c>
      <c r="W21" s="9">
        <v>171</v>
      </c>
      <c r="X21" s="9">
        <v>45</v>
      </c>
      <c r="Y21" s="9">
        <v>0</v>
      </c>
      <c r="Z21" s="9">
        <v>0</v>
      </c>
      <c r="AA21" s="8">
        <v>60</v>
      </c>
      <c r="AB21" s="8">
        <v>18</v>
      </c>
      <c r="AC21" s="8">
        <v>7</v>
      </c>
      <c r="AD21" s="8">
        <v>0</v>
      </c>
      <c r="AE21" s="8">
        <v>0</v>
      </c>
      <c r="AF21" s="8">
        <v>0</v>
      </c>
      <c r="AG21" s="8">
        <v>4</v>
      </c>
      <c r="AH21" s="8">
        <v>0</v>
      </c>
      <c r="AI21" s="8">
        <v>5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49</v>
      </c>
      <c r="BA21" s="8">
        <v>49</v>
      </c>
      <c r="BB21" s="8">
        <v>49</v>
      </c>
      <c r="BC21" s="8">
        <v>182</v>
      </c>
      <c r="BD21" s="8">
        <v>182</v>
      </c>
      <c r="BE21" s="8">
        <v>182</v>
      </c>
      <c r="BF21" s="15">
        <v>148</v>
      </c>
      <c r="BG21" s="13"/>
      <c r="BH21" s="8">
        <v>3</v>
      </c>
      <c r="BI21" s="15">
        <v>3</v>
      </c>
      <c r="BJ21" s="8">
        <v>3</v>
      </c>
      <c r="BK21" s="8">
        <v>0</v>
      </c>
      <c r="BL21" s="15">
        <v>0</v>
      </c>
      <c r="BM21" s="8">
        <v>0</v>
      </c>
      <c r="BN21" s="8">
        <v>0</v>
      </c>
      <c r="BO21" s="15">
        <v>0</v>
      </c>
      <c r="BP21" s="8">
        <v>0</v>
      </c>
      <c r="BQ21" s="8">
        <v>0</v>
      </c>
      <c r="BR21" s="15">
        <v>0</v>
      </c>
      <c r="BS21" s="8">
        <v>0</v>
      </c>
      <c r="BT21" s="8">
        <v>0</v>
      </c>
      <c r="BU21" s="15">
        <v>0</v>
      </c>
      <c r="BV21" s="8">
        <v>0</v>
      </c>
      <c r="BW21" s="8">
        <v>0</v>
      </c>
      <c r="BX21" s="15">
        <v>0</v>
      </c>
      <c r="BY21" s="8">
        <v>0</v>
      </c>
      <c r="BZ21" s="8">
        <v>0</v>
      </c>
      <c r="CA21" s="15">
        <v>0</v>
      </c>
      <c r="CB21" s="8">
        <v>0</v>
      </c>
      <c r="CC21" s="8">
        <v>0</v>
      </c>
      <c r="CD21" s="15">
        <v>0</v>
      </c>
      <c r="CE21" s="8">
        <v>0</v>
      </c>
      <c r="CF21" s="8">
        <v>0</v>
      </c>
      <c r="CG21" s="15">
        <v>0</v>
      </c>
      <c r="CH21" s="8">
        <v>0</v>
      </c>
      <c r="CI21" s="8">
        <v>60</v>
      </c>
      <c r="CJ21" s="23">
        <v>60</v>
      </c>
      <c r="CK21" s="8">
        <v>42</v>
      </c>
      <c r="CL21" s="8">
        <v>18</v>
      </c>
      <c r="CM21" s="8">
        <v>1</v>
      </c>
      <c r="CN21" s="8">
        <v>0</v>
      </c>
      <c r="CO21" s="8">
        <v>1</v>
      </c>
      <c r="CP21" s="15">
        <v>1</v>
      </c>
      <c r="CQ21" s="8">
        <v>1</v>
      </c>
      <c r="CR21" s="8">
        <v>0</v>
      </c>
      <c r="CS21" s="15">
        <v>0</v>
      </c>
      <c r="CT21" s="23">
        <v>4</v>
      </c>
      <c r="CU21" s="23">
        <v>4</v>
      </c>
      <c r="CV21" s="23">
        <v>4</v>
      </c>
    </row>
    <row r="22" spans="1:100" s="14" customFormat="1" ht="31.5" customHeight="1" x14ac:dyDescent="0.25">
      <c r="A22" s="10" t="s">
        <v>79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8">
        <v>0</v>
      </c>
      <c r="N22" s="8">
        <v>0</v>
      </c>
      <c r="O22" s="8">
        <v>0</v>
      </c>
      <c r="P22" s="9">
        <v>0</v>
      </c>
      <c r="Q22" s="9">
        <v>0</v>
      </c>
      <c r="R22" s="9">
        <v>32</v>
      </c>
      <c r="S22" s="9">
        <v>0</v>
      </c>
      <c r="T22" s="9">
        <v>0</v>
      </c>
      <c r="U22" s="8">
        <v>2671</v>
      </c>
      <c r="V22" s="8">
        <v>782</v>
      </c>
      <c r="W22" s="9">
        <v>186</v>
      </c>
      <c r="X22" s="9">
        <v>34</v>
      </c>
      <c r="Y22" s="9">
        <v>0</v>
      </c>
      <c r="Z22" s="9">
        <v>0</v>
      </c>
      <c r="AA22" s="8">
        <v>66</v>
      </c>
      <c r="AB22" s="8">
        <v>23</v>
      </c>
      <c r="AC22" s="8">
        <v>12</v>
      </c>
      <c r="AD22" s="8">
        <v>0</v>
      </c>
      <c r="AE22" s="8">
        <v>2</v>
      </c>
      <c r="AF22" s="8">
        <v>0</v>
      </c>
      <c r="AG22" s="8">
        <v>4</v>
      </c>
      <c r="AH22" s="8">
        <v>0</v>
      </c>
      <c r="AI22" s="8">
        <v>12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49</v>
      </c>
      <c r="BA22" s="8">
        <v>49</v>
      </c>
      <c r="BB22" s="8">
        <v>49</v>
      </c>
      <c r="BC22" s="8">
        <v>182</v>
      </c>
      <c r="BD22" s="8">
        <v>182</v>
      </c>
      <c r="BE22" s="8">
        <v>182</v>
      </c>
      <c r="BF22" s="15">
        <v>140</v>
      </c>
      <c r="BG22" s="13"/>
      <c r="BH22" s="18">
        <v>1</v>
      </c>
      <c r="BI22" s="16">
        <v>1</v>
      </c>
      <c r="BJ22" s="16">
        <v>1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7">
        <v>0</v>
      </c>
      <c r="CI22" s="8">
        <v>65</v>
      </c>
      <c r="CJ22" s="23">
        <v>63</v>
      </c>
      <c r="CK22" s="8">
        <v>41</v>
      </c>
      <c r="CL22" s="23">
        <v>22</v>
      </c>
      <c r="CM22" s="8">
        <v>0</v>
      </c>
      <c r="CN22" s="14">
        <v>0</v>
      </c>
      <c r="CO22" s="8">
        <v>1</v>
      </c>
      <c r="CP22" s="14">
        <v>1</v>
      </c>
      <c r="CQ22" s="8">
        <v>1</v>
      </c>
      <c r="CR22" s="14">
        <v>0</v>
      </c>
      <c r="CS22" s="8">
        <v>0</v>
      </c>
      <c r="CT22" s="23">
        <v>4</v>
      </c>
      <c r="CU22" s="23">
        <v>4</v>
      </c>
      <c r="CV22" s="23">
        <v>4</v>
      </c>
    </row>
    <row r="23" spans="1:100" s="14" customFormat="1" ht="31.5" customHeight="1" x14ac:dyDescent="0.25">
      <c r="A23" s="10" t="s">
        <v>80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9">
        <v>0</v>
      </c>
      <c r="Q23" s="9">
        <v>0</v>
      </c>
      <c r="R23" s="9">
        <v>44</v>
      </c>
      <c r="S23" s="9">
        <v>1</v>
      </c>
      <c r="T23" s="9">
        <v>0</v>
      </c>
      <c r="U23" s="8">
        <v>2582</v>
      </c>
      <c r="V23" s="8">
        <v>760</v>
      </c>
      <c r="W23" s="9">
        <v>149</v>
      </c>
      <c r="X23" s="9">
        <v>23</v>
      </c>
      <c r="Y23" s="9">
        <v>0</v>
      </c>
      <c r="Z23" s="9">
        <v>0</v>
      </c>
      <c r="AA23" s="8">
        <v>59</v>
      </c>
      <c r="AB23" s="8">
        <v>8</v>
      </c>
      <c r="AC23" s="8">
        <v>4</v>
      </c>
      <c r="AD23" s="8">
        <v>0</v>
      </c>
      <c r="AE23" s="8">
        <v>0</v>
      </c>
      <c r="AF23" s="8">
        <v>0</v>
      </c>
      <c r="AG23" s="8">
        <v>6</v>
      </c>
      <c r="AH23" s="8">
        <v>0</v>
      </c>
      <c r="AI23" s="8">
        <v>8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49</v>
      </c>
      <c r="BA23" s="8">
        <v>49</v>
      </c>
      <c r="BB23" s="8">
        <v>49</v>
      </c>
      <c r="BC23" s="8">
        <v>182</v>
      </c>
      <c r="BD23" s="8">
        <v>182</v>
      </c>
      <c r="BE23" s="8">
        <v>182</v>
      </c>
      <c r="BF23" s="15">
        <v>122</v>
      </c>
      <c r="BG23" s="13"/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57</v>
      </c>
      <c r="CJ23" s="23">
        <v>57</v>
      </c>
      <c r="CK23" s="8">
        <v>49</v>
      </c>
      <c r="CL23" s="8">
        <v>8</v>
      </c>
      <c r="CM23" s="23">
        <v>0</v>
      </c>
      <c r="CN23" s="14">
        <v>0</v>
      </c>
      <c r="CO23" s="8">
        <v>1</v>
      </c>
      <c r="CP23" s="8">
        <v>1</v>
      </c>
      <c r="CQ23" s="8">
        <v>1</v>
      </c>
      <c r="CR23" s="8">
        <v>0</v>
      </c>
      <c r="CS23" s="8">
        <v>0</v>
      </c>
      <c r="CT23" s="23">
        <v>4</v>
      </c>
      <c r="CU23" s="23">
        <v>4</v>
      </c>
      <c r="CV23" s="23">
        <v>4</v>
      </c>
    </row>
    <row r="24" spans="1:100" s="14" customFormat="1" ht="31.5" customHeight="1" x14ac:dyDescent="0.25">
      <c r="A24" s="10" t="s">
        <v>81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9">
        <v>0</v>
      </c>
      <c r="Q24" s="9">
        <v>0</v>
      </c>
      <c r="R24" s="9">
        <v>78</v>
      </c>
      <c r="S24" s="9">
        <v>0</v>
      </c>
      <c r="T24" s="9">
        <v>0</v>
      </c>
      <c r="U24" s="8">
        <v>2707</v>
      </c>
      <c r="V24" s="8">
        <v>770</v>
      </c>
      <c r="W24" s="9">
        <v>179</v>
      </c>
      <c r="X24" s="9">
        <v>37</v>
      </c>
      <c r="Y24" s="9">
        <v>0</v>
      </c>
      <c r="Z24" s="9">
        <v>0</v>
      </c>
      <c r="AA24" s="8">
        <v>62</v>
      </c>
      <c r="AB24" s="8">
        <v>13</v>
      </c>
      <c r="AC24" s="8">
        <v>3</v>
      </c>
      <c r="AD24" s="8">
        <v>0</v>
      </c>
      <c r="AE24" s="8">
        <v>1</v>
      </c>
      <c r="AF24" s="8">
        <v>0</v>
      </c>
      <c r="AG24" s="8">
        <v>4</v>
      </c>
      <c r="AH24" s="8">
        <v>0</v>
      </c>
      <c r="AI24" s="8">
        <v>6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49</v>
      </c>
      <c r="BA24" s="8">
        <v>49</v>
      </c>
      <c r="BB24" s="8">
        <v>49</v>
      </c>
      <c r="BC24" s="8">
        <v>182</v>
      </c>
      <c r="BD24" s="8">
        <v>182</v>
      </c>
      <c r="BE24" s="8">
        <v>182</v>
      </c>
      <c r="BF24" s="15">
        <v>99</v>
      </c>
      <c r="BG24" s="13"/>
      <c r="BH24" s="18">
        <v>1</v>
      </c>
      <c r="BI24" s="16">
        <v>1</v>
      </c>
      <c r="BJ24" s="16">
        <v>1</v>
      </c>
      <c r="BK24" s="8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7">
        <v>0</v>
      </c>
      <c r="CI24" s="8">
        <v>62</v>
      </c>
      <c r="CJ24" s="23">
        <v>51</v>
      </c>
      <c r="CK24" s="8">
        <v>37</v>
      </c>
      <c r="CL24" s="23">
        <v>14</v>
      </c>
      <c r="CM24" s="8">
        <v>0</v>
      </c>
      <c r="CN24" s="14">
        <v>0</v>
      </c>
      <c r="CO24" s="8">
        <v>0</v>
      </c>
      <c r="CP24" s="14">
        <v>0</v>
      </c>
      <c r="CQ24" s="8">
        <v>0</v>
      </c>
      <c r="CR24" s="18">
        <v>0</v>
      </c>
      <c r="CS24" s="18">
        <v>0</v>
      </c>
      <c r="CT24" s="23">
        <v>4</v>
      </c>
      <c r="CU24" s="23">
        <v>4</v>
      </c>
      <c r="CV24" s="23">
        <v>4</v>
      </c>
    </row>
    <row r="25" spans="1:100" s="14" customFormat="1" ht="31.5" customHeight="1" x14ac:dyDescent="0.25">
      <c r="A25" s="10" t="s">
        <v>82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9">
        <v>0</v>
      </c>
      <c r="Q25" s="9">
        <v>0</v>
      </c>
      <c r="R25" s="9">
        <v>67</v>
      </c>
      <c r="S25" s="9">
        <v>0</v>
      </c>
      <c r="T25" s="9">
        <v>0</v>
      </c>
      <c r="U25" s="8">
        <v>3127</v>
      </c>
      <c r="V25" s="8">
        <v>966</v>
      </c>
      <c r="W25" s="9">
        <v>223</v>
      </c>
      <c r="X25" s="9">
        <v>49</v>
      </c>
      <c r="Y25" s="9">
        <v>0</v>
      </c>
      <c r="Z25" s="9">
        <v>0</v>
      </c>
      <c r="AA25" s="8">
        <v>66</v>
      </c>
      <c r="AB25" s="8">
        <v>24</v>
      </c>
      <c r="AC25" s="8">
        <v>13</v>
      </c>
      <c r="AD25" s="8">
        <v>0</v>
      </c>
      <c r="AE25" s="8">
        <v>0</v>
      </c>
      <c r="AF25" s="8">
        <v>0</v>
      </c>
      <c r="AG25" s="8">
        <v>3</v>
      </c>
      <c r="AH25" s="8">
        <v>0</v>
      </c>
      <c r="AI25" s="8">
        <v>8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49</v>
      </c>
      <c r="BA25" s="8">
        <v>49</v>
      </c>
      <c r="BB25" s="8">
        <v>49</v>
      </c>
      <c r="BC25" s="8">
        <v>183</v>
      </c>
      <c r="BD25" s="8">
        <v>183</v>
      </c>
      <c r="BE25" s="8">
        <v>183</v>
      </c>
      <c r="BF25" s="15">
        <v>95</v>
      </c>
      <c r="BG25" s="8"/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65</v>
      </c>
      <c r="CJ25" s="8">
        <v>63</v>
      </c>
      <c r="CK25" s="8">
        <v>40</v>
      </c>
      <c r="CL25" s="8">
        <v>23</v>
      </c>
      <c r="CM25" s="8">
        <v>0</v>
      </c>
      <c r="CN25" s="8">
        <v>0</v>
      </c>
      <c r="CO25" s="8">
        <v>1</v>
      </c>
      <c r="CP25" s="8">
        <v>1</v>
      </c>
      <c r="CQ25" s="8">
        <v>1</v>
      </c>
      <c r="CR25" s="8">
        <v>0</v>
      </c>
      <c r="CS25" s="23">
        <v>0</v>
      </c>
      <c r="CT25" s="14">
        <v>4</v>
      </c>
      <c r="CU25" s="23">
        <v>4</v>
      </c>
      <c r="CV25" s="23">
        <v>4</v>
      </c>
    </row>
    <row r="26" spans="1:100" s="14" customFormat="1" ht="31.5" customHeight="1" x14ac:dyDescent="0.25">
      <c r="A26" s="10" t="s">
        <v>83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  <c r="Q26" s="9"/>
      <c r="R26" s="9"/>
      <c r="S26" s="9"/>
      <c r="T26" s="9"/>
      <c r="U26" s="8"/>
      <c r="V26" s="8"/>
      <c r="W26" s="9"/>
      <c r="X26" s="9"/>
      <c r="Y26" s="9"/>
      <c r="Z26" s="9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15"/>
      <c r="BG26" s="13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23"/>
      <c r="CK26" s="8"/>
      <c r="CL26" s="8"/>
      <c r="CM26" s="8"/>
      <c r="CN26" s="8"/>
      <c r="CO26" s="8"/>
      <c r="CP26" s="8"/>
      <c r="CQ26" s="8"/>
      <c r="CR26" s="8"/>
      <c r="CS26" s="18"/>
      <c r="CT26" s="23"/>
      <c r="CU26" s="23"/>
      <c r="CV26" s="23"/>
    </row>
    <row r="27" spans="1:100" s="14" customFormat="1" ht="31.5" customHeight="1" x14ac:dyDescent="0.25">
      <c r="A27" s="10" t="s">
        <v>84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9"/>
      <c r="R27" s="9"/>
      <c r="S27" s="9"/>
      <c r="T27" s="9"/>
      <c r="U27" s="8"/>
      <c r="V27" s="8"/>
      <c r="W27" s="9"/>
      <c r="X27" s="9"/>
      <c r="Y27" s="9"/>
      <c r="Z27" s="9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15"/>
      <c r="BG27" s="13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O27" s="8"/>
      <c r="CP27" s="8"/>
      <c r="CQ27" s="8"/>
      <c r="CR27" s="8"/>
      <c r="CS27" s="8"/>
      <c r="CT27" s="23"/>
      <c r="CU27" s="23"/>
      <c r="CV27" s="23"/>
    </row>
    <row r="28" spans="1:100" s="22" customFormat="1" ht="31.5" customHeight="1" x14ac:dyDescent="0.25">
      <c r="A28" s="10" t="s">
        <v>85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9"/>
      <c r="R28" s="9"/>
      <c r="S28" s="9"/>
      <c r="T28" s="9"/>
      <c r="U28" s="8"/>
      <c r="V28" s="8"/>
      <c r="W28" s="9"/>
      <c r="X28" s="9"/>
      <c r="Y28" s="9"/>
      <c r="Z28" s="9"/>
      <c r="AA28" s="8"/>
      <c r="AB28" s="8"/>
      <c r="AC28" s="8"/>
      <c r="AD28" s="8"/>
      <c r="AE28" s="8"/>
      <c r="AF28" s="8"/>
      <c r="AG28" s="11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15"/>
      <c r="BG28" s="20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10"/>
      <c r="CU28" s="10"/>
      <c r="CV28" s="10"/>
    </row>
    <row r="29" spans="1:100" s="14" customFormat="1" ht="31.5" customHeight="1" x14ac:dyDescent="0.25">
      <c r="A29" s="10" t="s">
        <v>86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2"/>
      <c r="R29" s="12"/>
      <c r="S29" s="12"/>
      <c r="T29" s="12"/>
      <c r="U29" s="11"/>
      <c r="V29" s="11"/>
      <c r="W29" s="12"/>
      <c r="X29" s="12"/>
      <c r="Y29" s="12"/>
      <c r="Z29" s="12"/>
      <c r="AA29" s="11"/>
      <c r="AB29" s="11"/>
      <c r="AC29" s="11"/>
      <c r="AD29" s="11"/>
      <c r="AE29" s="11"/>
      <c r="AF29" s="11"/>
      <c r="AG29" s="8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9"/>
      <c r="BG29" s="13"/>
      <c r="BH29" s="21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7"/>
      <c r="CI29" s="11"/>
      <c r="CJ29" s="11"/>
      <c r="CK29" s="8"/>
      <c r="CL29" s="11"/>
      <c r="CM29" s="11"/>
      <c r="CN29" s="11"/>
      <c r="CO29" s="11"/>
      <c r="CP29" s="11"/>
      <c r="CQ29" s="11"/>
      <c r="CR29" s="21"/>
      <c r="CS29" s="21"/>
      <c r="CT29" s="23"/>
      <c r="CU29" s="23"/>
      <c r="CV29" s="23"/>
    </row>
    <row r="30" spans="1:100" s="14" customFormat="1" ht="31.5" customHeight="1" x14ac:dyDescent="0.25">
      <c r="A30" s="10" t="s">
        <v>87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  <c r="Q30" s="9"/>
      <c r="R30" s="9"/>
      <c r="S30" s="9"/>
      <c r="T30" s="9"/>
      <c r="U30" s="8"/>
      <c r="V30" s="8"/>
      <c r="W30" s="9"/>
      <c r="X30" s="9"/>
      <c r="Y30" s="9"/>
      <c r="Z30" s="9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15"/>
      <c r="BG30" s="13"/>
      <c r="BH30" s="18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7"/>
      <c r="CI30" s="24"/>
      <c r="CJ30" s="24"/>
      <c r="CK30" s="16"/>
      <c r="CL30" s="16"/>
      <c r="CM30" s="24"/>
      <c r="CN30" s="18"/>
      <c r="CO30" s="18"/>
      <c r="CP30" s="18"/>
      <c r="CQ30" s="18"/>
      <c r="CR30" s="18"/>
      <c r="CS30" s="18"/>
      <c r="CT30" s="23"/>
      <c r="CU30" s="23"/>
      <c r="CV30" s="23"/>
    </row>
    <row r="31" spans="1:100" s="14" customFormat="1" ht="31.5" customHeight="1" x14ac:dyDescent="0.25">
      <c r="A31" s="10" t="s">
        <v>88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9"/>
      <c r="R31" s="9"/>
      <c r="S31" s="9"/>
      <c r="T31" s="9"/>
      <c r="U31" s="8"/>
      <c r="V31" s="8"/>
      <c r="W31" s="9"/>
      <c r="X31" s="9"/>
      <c r="Y31" s="9"/>
      <c r="Z31" s="9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15"/>
      <c r="BG31" s="13"/>
      <c r="BH31" s="18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7"/>
      <c r="CI31" s="24"/>
      <c r="CJ31" s="24"/>
      <c r="CK31" s="16"/>
      <c r="CL31" s="16"/>
      <c r="CM31" s="24"/>
      <c r="CN31" s="18"/>
      <c r="CO31" s="18"/>
      <c r="CP31" s="18"/>
      <c r="CQ31" s="18"/>
      <c r="CR31" s="18"/>
      <c r="CS31" s="18"/>
      <c r="CT31" s="23"/>
      <c r="CU31" s="23"/>
      <c r="CV31" s="23"/>
    </row>
    <row r="32" spans="1:100" s="14" customFormat="1" ht="31.5" customHeight="1" x14ac:dyDescent="0.25">
      <c r="A32" s="10" t="s">
        <v>89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  <c r="Q32" s="9"/>
      <c r="R32" s="9"/>
      <c r="S32" s="9"/>
      <c r="T32" s="9"/>
      <c r="U32" s="8"/>
      <c r="V32" s="8"/>
      <c r="W32" s="9"/>
      <c r="X32" s="9"/>
      <c r="Y32" s="9"/>
      <c r="Z32" s="9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15"/>
      <c r="BG32" s="13"/>
      <c r="BH32" s="18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7"/>
      <c r="CI32" s="24"/>
      <c r="CJ32" s="24"/>
      <c r="CK32" s="16"/>
      <c r="CL32" s="16"/>
      <c r="CM32" s="24"/>
      <c r="CN32" s="18"/>
      <c r="CO32" s="18"/>
      <c r="CP32" s="18"/>
      <c r="CQ32" s="18"/>
      <c r="CR32" s="18"/>
      <c r="CS32" s="18"/>
      <c r="CT32" s="23"/>
      <c r="CU32" s="23"/>
      <c r="CV32" s="23"/>
    </row>
    <row r="33" spans="1:100" s="14" customFormat="1" ht="31.5" customHeight="1" x14ac:dyDescent="0.25">
      <c r="A33" s="10" t="s">
        <v>90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  <c r="Q33" s="9"/>
      <c r="R33" s="9"/>
      <c r="S33" s="9"/>
      <c r="T33" s="9"/>
      <c r="U33" s="8"/>
      <c r="V33" s="8"/>
      <c r="W33" s="9"/>
      <c r="X33" s="9"/>
      <c r="Y33" s="9"/>
      <c r="Z33" s="9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15"/>
      <c r="BG33" s="13"/>
      <c r="BH33" s="18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7"/>
      <c r="CI33" s="24"/>
      <c r="CJ33" s="24"/>
      <c r="CK33" s="16"/>
      <c r="CL33" s="16"/>
      <c r="CM33" s="24"/>
      <c r="CN33" s="18"/>
      <c r="CO33" s="18"/>
      <c r="CP33" s="18"/>
      <c r="CQ33" s="18"/>
      <c r="CR33" s="18"/>
      <c r="CS33" s="18"/>
      <c r="CT33" s="23"/>
      <c r="CU33" s="23"/>
      <c r="CV33" s="23"/>
    </row>
    <row r="34" spans="1:100" s="14" customFormat="1" ht="31.5" customHeight="1" x14ac:dyDescent="0.25">
      <c r="A34" s="10" t="s">
        <v>91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  <c r="Q34" s="9"/>
      <c r="R34" s="9"/>
      <c r="S34" s="9"/>
      <c r="T34" s="9"/>
      <c r="U34" s="8"/>
      <c r="V34" s="8"/>
      <c r="W34" s="9"/>
      <c r="X34" s="9"/>
      <c r="Y34" s="9"/>
      <c r="Z34" s="9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15"/>
      <c r="BG34" s="13"/>
      <c r="BH34" s="18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7"/>
      <c r="CI34" s="24"/>
      <c r="CJ34" s="24"/>
      <c r="CK34" s="16"/>
      <c r="CL34" s="16"/>
      <c r="CM34" s="24"/>
      <c r="CN34" s="18"/>
      <c r="CO34" s="18"/>
      <c r="CP34" s="18"/>
      <c r="CQ34" s="18"/>
      <c r="CR34" s="18"/>
      <c r="CS34" s="18"/>
      <c r="CT34" s="23"/>
      <c r="CU34" s="23"/>
      <c r="CV34" s="23"/>
    </row>
    <row r="35" spans="1:100" s="14" customFormat="1" ht="31.5" customHeight="1" x14ac:dyDescent="0.25">
      <c r="A35" s="10" t="s">
        <v>92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  <c r="Q35" s="9"/>
      <c r="R35" s="9"/>
      <c r="S35" s="9"/>
      <c r="T35" s="9"/>
      <c r="U35" s="8"/>
      <c r="V35" s="8"/>
      <c r="W35" s="9"/>
      <c r="X35" s="9"/>
      <c r="Y35" s="9"/>
      <c r="Z35" s="9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15"/>
      <c r="BG35" s="13"/>
      <c r="BH35" s="18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7"/>
      <c r="CI35" s="24"/>
      <c r="CJ35" s="24"/>
      <c r="CK35" s="16"/>
      <c r="CL35" s="16"/>
      <c r="CM35" s="24"/>
      <c r="CN35" s="18"/>
      <c r="CO35" s="18"/>
      <c r="CP35" s="18"/>
      <c r="CQ35" s="18"/>
      <c r="CR35" s="18"/>
      <c r="CS35" s="18"/>
      <c r="CT35" s="23"/>
      <c r="CU35" s="23"/>
      <c r="CV35" s="23"/>
    </row>
    <row r="36" spans="1:100" s="14" customFormat="1" ht="31.5" customHeight="1" x14ac:dyDescent="0.25">
      <c r="A36" s="10" t="s">
        <v>93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  <c r="Q36" s="9"/>
      <c r="R36" s="9"/>
      <c r="S36" s="9"/>
      <c r="T36" s="9"/>
      <c r="U36" s="8"/>
      <c r="V36" s="8"/>
      <c r="W36" s="9"/>
      <c r="X36" s="9"/>
      <c r="Y36" s="9"/>
      <c r="Z36" s="9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15"/>
      <c r="BG36" s="13"/>
      <c r="BH36" s="18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7"/>
      <c r="CI36" s="24"/>
      <c r="CJ36" s="24"/>
      <c r="CK36" s="16"/>
      <c r="CL36" s="16"/>
      <c r="CM36" s="24"/>
      <c r="CN36" s="18"/>
      <c r="CO36" s="18"/>
      <c r="CP36" s="18"/>
      <c r="CQ36" s="18"/>
      <c r="CR36" s="18"/>
      <c r="CS36" s="18"/>
      <c r="CT36" s="23"/>
      <c r="CU36" s="23"/>
      <c r="CV36" s="23"/>
    </row>
    <row r="37" spans="1:100" s="14" customFormat="1" ht="31.5" customHeight="1" x14ac:dyDescent="0.25">
      <c r="A37" s="10" t="s">
        <v>94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  <c r="Q37" s="9"/>
      <c r="R37" s="9"/>
      <c r="S37" s="9"/>
      <c r="T37" s="9"/>
      <c r="U37" s="8"/>
      <c r="V37" s="8"/>
      <c r="W37" s="9"/>
      <c r="X37" s="9"/>
      <c r="Y37" s="9"/>
      <c r="Z37" s="9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15"/>
      <c r="BG37" s="13"/>
      <c r="BH37" s="18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7"/>
      <c r="CI37" s="24"/>
      <c r="CJ37" s="24"/>
      <c r="CK37" s="16"/>
      <c r="CL37" s="16"/>
      <c r="CM37" s="24"/>
      <c r="CN37" s="18"/>
      <c r="CO37" s="18"/>
      <c r="CP37" s="18"/>
      <c r="CQ37" s="18"/>
      <c r="CR37" s="18"/>
      <c r="CS37" s="18"/>
      <c r="CT37" s="23"/>
      <c r="CU37" s="23"/>
      <c r="CV37" s="23"/>
    </row>
    <row r="38" spans="1:100" s="14" customFormat="1" ht="31.5" customHeight="1" x14ac:dyDescent="0.25">
      <c r="A38" s="10" t="s">
        <v>95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9"/>
      <c r="R38" s="9"/>
      <c r="S38" s="9"/>
      <c r="T38" s="9"/>
      <c r="U38" s="8"/>
      <c r="V38" s="8"/>
      <c r="W38" s="9"/>
      <c r="X38" s="9"/>
      <c r="Y38" s="9"/>
      <c r="Z38" s="9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15"/>
      <c r="BG38" s="13"/>
      <c r="BH38" s="18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7"/>
      <c r="CI38" s="24"/>
      <c r="CJ38" s="24"/>
      <c r="CK38" s="16"/>
      <c r="CL38" s="16"/>
      <c r="CM38" s="24"/>
      <c r="CN38" s="18"/>
      <c r="CO38" s="18"/>
      <c r="CP38" s="18"/>
      <c r="CQ38" s="18"/>
      <c r="CR38" s="18"/>
      <c r="CS38" s="18"/>
      <c r="CT38" s="23"/>
      <c r="CU38" s="23"/>
      <c r="CV38" s="23"/>
    </row>
    <row r="39" spans="1:100" s="14" customFormat="1" ht="31.5" customHeight="1" x14ac:dyDescent="0.25">
      <c r="A39" s="10" t="s">
        <v>96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  <c r="Q39" s="9"/>
      <c r="R39" s="9"/>
      <c r="S39" s="9"/>
      <c r="T39" s="9"/>
      <c r="U39" s="8"/>
      <c r="V39" s="8"/>
      <c r="W39" s="9"/>
      <c r="X39" s="9"/>
      <c r="Y39" s="9"/>
      <c r="Z39" s="9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15"/>
      <c r="BG39" s="13"/>
      <c r="BH39" s="18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7"/>
      <c r="CI39" s="24"/>
      <c r="CJ39" s="24"/>
      <c r="CK39" s="16"/>
      <c r="CL39" s="16"/>
      <c r="CM39" s="24"/>
      <c r="CN39" s="18"/>
      <c r="CO39" s="18"/>
      <c r="CP39" s="18"/>
      <c r="CQ39" s="18"/>
      <c r="CR39" s="18"/>
      <c r="CS39" s="18"/>
      <c r="CT39" s="23"/>
      <c r="CU39" s="23"/>
      <c r="CV39" s="23"/>
    </row>
    <row r="40" spans="1:100" s="14" customFormat="1" ht="31.5" customHeight="1" x14ac:dyDescent="0.25">
      <c r="A40" s="10" t="s">
        <v>97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  <c r="Q40" s="9"/>
      <c r="R40" s="9"/>
      <c r="S40" s="9"/>
      <c r="T40" s="9"/>
      <c r="U40" s="8"/>
      <c r="V40" s="8"/>
      <c r="W40" s="9"/>
      <c r="X40" s="9"/>
      <c r="Y40" s="9"/>
      <c r="Z40" s="9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15"/>
      <c r="BG40" s="13"/>
      <c r="BH40" s="18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7"/>
      <c r="CI40" s="24"/>
      <c r="CJ40" s="24"/>
      <c r="CK40" s="16"/>
      <c r="CL40" s="16"/>
      <c r="CM40" s="24"/>
      <c r="CN40" s="18"/>
      <c r="CO40" s="18"/>
      <c r="CP40" s="18"/>
      <c r="CQ40" s="18"/>
      <c r="CR40" s="18"/>
      <c r="CS40" s="18"/>
      <c r="CT40" s="23"/>
      <c r="CU40" s="23"/>
      <c r="CV40" s="23"/>
    </row>
    <row r="41" spans="1:100" s="14" customFormat="1" ht="31.5" customHeight="1" x14ac:dyDescent="0.25">
      <c r="A41" s="10" t="s">
        <v>98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  <c r="Q41" s="9"/>
      <c r="R41" s="9"/>
      <c r="S41" s="9"/>
      <c r="T41" s="9"/>
      <c r="U41" s="8"/>
      <c r="V41" s="8"/>
      <c r="W41" s="9"/>
      <c r="X41" s="9"/>
      <c r="Y41" s="9"/>
      <c r="Z41" s="9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15"/>
      <c r="BG41" s="13"/>
      <c r="BH41" s="18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7"/>
      <c r="CI41" s="24"/>
      <c r="CJ41" s="24"/>
      <c r="CK41" s="16"/>
      <c r="CL41" s="16"/>
      <c r="CM41" s="24"/>
      <c r="CN41" s="18"/>
      <c r="CO41" s="18"/>
      <c r="CP41" s="18"/>
      <c r="CQ41" s="18"/>
      <c r="CR41" s="18"/>
      <c r="CS41" s="18"/>
      <c r="CT41" s="23"/>
      <c r="CU41" s="23"/>
      <c r="CV41" s="23"/>
    </row>
    <row r="42" spans="1:100" s="14" customFormat="1" ht="31.5" customHeight="1" x14ac:dyDescent="0.25">
      <c r="A42" s="10" t="s">
        <v>99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/>
      <c r="Q42" s="9"/>
      <c r="R42" s="9"/>
      <c r="S42" s="9"/>
      <c r="T42" s="9"/>
      <c r="U42" s="8"/>
      <c r="V42" s="8"/>
      <c r="W42" s="9"/>
      <c r="X42" s="9"/>
      <c r="Y42" s="9"/>
      <c r="Z42" s="9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15"/>
      <c r="BG42" s="13"/>
      <c r="BH42" s="18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7"/>
      <c r="CI42" s="24"/>
      <c r="CJ42" s="24"/>
      <c r="CK42" s="16"/>
      <c r="CL42" s="16"/>
      <c r="CM42" s="24"/>
      <c r="CN42" s="18"/>
      <c r="CO42" s="18"/>
      <c r="CP42" s="18"/>
      <c r="CQ42" s="18"/>
      <c r="CR42" s="18"/>
      <c r="CS42" s="18"/>
      <c r="CT42" s="23"/>
      <c r="CU42" s="23"/>
      <c r="CV42" s="23"/>
    </row>
    <row r="43" spans="1:100" s="14" customFormat="1" ht="31.5" customHeight="1" x14ac:dyDescent="0.25">
      <c r="A43" s="10" t="s">
        <v>100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"/>
      <c r="Q43" s="9"/>
      <c r="R43" s="9"/>
      <c r="S43" s="9"/>
      <c r="T43" s="9"/>
      <c r="U43" s="8"/>
      <c r="V43" s="8"/>
      <c r="W43" s="9"/>
      <c r="X43" s="9"/>
      <c r="Y43" s="9"/>
      <c r="Z43" s="9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15"/>
      <c r="BG43" s="13"/>
      <c r="BH43" s="18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7"/>
      <c r="CI43" s="24"/>
      <c r="CJ43" s="24"/>
      <c r="CK43" s="16"/>
      <c r="CL43" s="16"/>
      <c r="CM43" s="24"/>
      <c r="CN43" s="18"/>
      <c r="CO43" s="18"/>
      <c r="CP43" s="18"/>
      <c r="CQ43" s="18"/>
      <c r="CR43" s="18"/>
      <c r="CS43" s="18"/>
      <c r="CT43" s="23"/>
      <c r="CU43" s="23"/>
      <c r="CV43" s="23"/>
    </row>
    <row r="44" spans="1:100" s="14" customFormat="1" ht="31.5" customHeight="1" x14ac:dyDescent="0.25">
      <c r="A44" s="10" t="s">
        <v>101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  <c r="Q44" s="9"/>
      <c r="R44" s="9"/>
      <c r="S44" s="9"/>
      <c r="T44" s="9"/>
      <c r="U44" s="8"/>
      <c r="V44" s="8"/>
      <c r="W44" s="9"/>
      <c r="X44" s="9"/>
      <c r="Y44" s="9"/>
      <c r="Z44" s="9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15"/>
      <c r="BG44" s="13"/>
      <c r="BH44" s="18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7"/>
      <c r="CI44" s="24"/>
      <c r="CJ44" s="24"/>
      <c r="CK44" s="16"/>
      <c r="CL44" s="16"/>
      <c r="CM44" s="24"/>
      <c r="CN44" s="18"/>
      <c r="CO44" s="18"/>
      <c r="CP44" s="18"/>
      <c r="CQ44" s="18"/>
      <c r="CR44" s="18"/>
      <c r="CS44" s="18"/>
      <c r="CT44" s="23"/>
      <c r="CU44" s="23"/>
      <c r="CV44" s="23"/>
    </row>
    <row r="45" spans="1:100" s="14" customFormat="1" ht="31.5" customHeight="1" x14ac:dyDescent="0.25">
      <c r="A45" s="10" t="s">
        <v>102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  <c r="Q45" s="9"/>
      <c r="R45" s="9"/>
      <c r="S45" s="9"/>
      <c r="T45" s="9"/>
      <c r="U45" s="8"/>
      <c r="V45" s="8"/>
      <c r="W45" s="9"/>
      <c r="X45" s="9"/>
      <c r="Y45" s="9"/>
      <c r="Z45" s="9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15"/>
      <c r="BG45" s="13"/>
      <c r="BH45" s="18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7"/>
      <c r="CI45" s="24"/>
      <c r="CJ45" s="24"/>
      <c r="CK45" s="16"/>
      <c r="CL45" s="16"/>
      <c r="CM45" s="24"/>
      <c r="CN45" s="18"/>
      <c r="CO45" s="18"/>
      <c r="CP45" s="18"/>
      <c r="CQ45" s="18"/>
      <c r="CR45" s="18"/>
      <c r="CS45" s="18"/>
      <c r="CT45" s="23"/>
      <c r="CU45" s="23"/>
      <c r="CV45" s="23"/>
    </row>
    <row r="46" spans="1:100" s="14" customFormat="1" ht="31.5" customHeight="1" x14ac:dyDescent="0.25">
      <c r="A46" s="10" t="s">
        <v>103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  <c r="Q46" s="9"/>
      <c r="R46" s="9"/>
      <c r="S46" s="9"/>
      <c r="T46" s="9"/>
      <c r="U46" s="8"/>
      <c r="V46" s="8"/>
      <c r="W46" s="9"/>
      <c r="X46" s="9"/>
      <c r="Y46" s="9"/>
      <c r="Z46" s="9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15"/>
      <c r="BG46" s="13"/>
      <c r="BH46" s="18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7"/>
      <c r="CI46" s="24"/>
      <c r="CJ46" s="24"/>
      <c r="CK46" s="16"/>
      <c r="CL46" s="16"/>
      <c r="CM46" s="24"/>
      <c r="CN46" s="18"/>
      <c r="CO46" s="18"/>
      <c r="CP46" s="18"/>
      <c r="CQ46" s="18"/>
      <c r="CR46" s="18"/>
      <c r="CS46" s="18"/>
      <c r="CT46" s="23"/>
      <c r="CU46" s="23"/>
      <c r="CV46" s="23"/>
    </row>
    <row r="47" spans="1:100" s="14" customFormat="1" ht="31.5" customHeight="1" x14ac:dyDescent="0.25">
      <c r="A47" s="10" t="s">
        <v>104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  <c r="Q47" s="9"/>
      <c r="R47" s="9"/>
      <c r="S47" s="9"/>
      <c r="T47" s="9"/>
      <c r="U47" s="8"/>
      <c r="V47" s="8"/>
      <c r="W47" s="9"/>
      <c r="X47" s="9"/>
      <c r="Y47" s="9"/>
      <c r="Z47" s="9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15"/>
      <c r="BG47" s="13"/>
      <c r="BH47" s="18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7"/>
      <c r="CI47" s="24"/>
      <c r="CJ47" s="24"/>
      <c r="CK47" s="16"/>
      <c r="CL47" s="16"/>
      <c r="CM47" s="24"/>
      <c r="CN47" s="18"/>
      <c r="CO47" s="18"/>
      <c r="CP47" s="18"/>
      <c r="CQ47" s="18"/>
      <c r="CR47" s="18"/>
      <c r="CS47" s="18"/>
      <c r="CT47" s="23"/>
      <c r="CU47" s="23"/>
      <c r="CV47" s="23"/>
    </row>
    <row r="48" spans="1:100" s="14" customFormat="1" ht="31.5" customHeight="1" x14ac:dyDescent="0.25">
      <c r="A48" s="10" t="s">
        <v>105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  <c r="Q48" s="9"/>
      <c r="R48" s="9"/>
      <c r="S48" s="9"/>
      <c r="T48" s="9"/>
      <c r="U48" s="8"/>
      <c r="V48" s="8"/>
      <c r="W48" s="9"/>
      <c r="X48" s="9"/>
      <c r="Y48" s="9"/>
      <c r="Z48" s="9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15"/>
      <c r="BG48" s="13"/>
      <c r="BH48" s="18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7"/>
      <c r="CI48" s="24"/>
      <c r="CJ48" s="24"/>
      <c r="CK48" s="16"/>
      <c r="CL48" s="16"/>
      <c r="CM48" s="24"/>
      <c r="CN48" s="18"/>
      <c r="CO48" s="18"/>
      <c r="CP48" s="18"/>
      <c r="CQ48" s="18"/>
      <c r="CR48" s="18"/>
      <c r="CS48" s="18"/>
      <c r="CT48" s="23"/>
      <c r="CU48" s="23"/>
      <c r="CV48" s="23"/>
    </row>
    <row r="49" spans="1:100" s="14" customFormat="1" ht="31.5" customHeight="1" x14ac:dyDescent="0.25">
      <c r="A49" s="10" t="s">
        <v>106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  <c r="Q49" s="9"/>
      <c r="R49" s="9"/>
      <c r="S49" s="9"/>
      <c r="T49" s="9"/>
      <c r="U49" s="8"/>
      <c r="V49" s="8"/>
      <c r="W49" s="9"/>
      <c r="X49" s="9"/>
      <c r="Y49" s="9"/>
      <c r="Z49" s="9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15"/>
      <c r="BG49" s="13"/>
      <c r="BH49" s="18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7"/>
      <c r="CI49" s="24"/>
      <c r="CJ49" s="24"/>
      <c r="CK49" s="16"/>
      <c r="CL49" s="16"/>
      <c r="CM49" s="24"/>
      <c r="CN49" s="18"/>
      <c r="CO49" s="18"/>
      <c r="CP49" s="18"/>
      <c r="CQ49" s="18"/>
      <c r="CR49" s="18"/>
      <c r="CS49" s="18"/>
      <c r="CT49" s="23"/>
      <c r="CU49" s="23"/>
      <c r="CV49" s="23"/>
    </row>
    <row r="50" spans="1:100" s="14" customFormat="1" ht="31.5" customHeight="1" x14ac:dyDescent="0.25">
      <c r="A50" s="10" t="s">
        <v>107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9"/>
      <c r="Q50" s="9"/>
      <c r="R50" s="9"/>
      <c r="S50" s="9"/>
      <c r="T50" s="9"/>
      <c r="U50" s="8"/>
      <c r="V50" s="8"/>
      <c r="W50" s="9"/>
      <c r="X50" s="9"/>
      <c r="Y50" s="9"/>
      <c r="Z50" s="9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15"/>
      <c r="BG50" s="13"/>
      <c r="BH50" s="18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7"/>
      <c r="CI50" s="24"/>
      <c r="CJ50" s="24"/>
      <c r="CK50" s="16"/>
      <c r="CL50" s="16"/>
      <c r="CM50" s="24"/>
      <c r="CN50" s="18"/>
      <c r="CO50" s="18"/>
      <c r="CP50" s="18"/>
      <c r="CQ50" s="18"/>
      <c r="CR50" s="18"/>
      <c r="CS50" s="18"/>
      <c r="CT50" s="23"/>
      <c r="CU50" s="23"/>
      <c r="CV50" s="23"/>
    </row>
    <row r="51" spans="1:100" s="14" customFormat="1" ht="31.5" customHeight="1" x14ac:dyDescent="0.25">
      <c r="A51" s="10" t="s">
        <v>108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"/>
      <c r="Q51" s="9"/>
      <c r="R51" s="9"/>
      <c r="S51" s="9"/>
      <c r="T51" s="9"/>
      <c r="U51" s="8"/>
      <c r="V51" s="8"/>
      <c r="W51" s="9"/>
      <c r="X51" s="9"/>
      <c r="Y51" s="9"/>
      <c r="Z51" s="9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15"/>
      <c r="BG51" s="13"/>
      <c r="BH51" s="18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7"/>
      <c r="CI51" s="24"/>
      <c r="CJ51" s="24"/>
      <c r="CK51" s="16"/>
      <c r="CL51" s="16"/>
      <c r="CM51" s="24"/>
      <c r="CN51" s="18"/>
      <c r="CO51" s="18"/>
      <c r="CP51" s="18"/>
      <c r="CQ51" s="18"/>
      <c r="CR51" s="18"/>
      <c r="CS51" s="18"/>
      <c r="CT51" s="23"/>
      <c r="CU51" s="23"/>
      <c r="CV51" s="23"/>
    </row>
    <row r="52" spans="1:100" s="14" customFormat="1" ht="31.5" customHeight="1" x14ac:dyDescent="0.25">
      <c r="A52" s="10" t="s">
        <v>109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/>
      <c r="Q52" s="9"/>
      <c r="R52" s="9"/>
      <c r="S52" s="9"/>
      <c r="T52" s="9"/>
      <c r="U52" s="8"/>
      <c r="V52" s="8"/>
      <c r="W52" s="9"/>
      <c r="X52" s="9"/>
      <c r="Y52" s="9"/>
      <c r="Z52" s="9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15"/>
      <c r="BG52" s="13"/>
      <c r="BH52" s="18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7"/>
      <c r="CI52" s="24"/>
      <c r="CJ52" s="24"/>
      <c r="CK52" s="16"/>
      <c r="CL52" s="16"/>
      <c r="CM52" s="24"/>
      <c r="CN52" s="18"/>
      <c r="CO52" s="18"/>
      <c r="CP52" s="18"/>
      <c r="CQ52" s="18"/>
      <c r="CR52" s="18"/>
      <c r="CS52" s="18"/>
      <c r="CT52" s="23"/>
      <c r="CU52" s="23"/>
      <c r="CV52" s="23"/>
    </row>
    <row r="53" spans="1:100" s="14" customFormat="1" ht="31.5" customHeight="1" x14ac:dyDescent="0.25">
      <c r="A53" s="10" t="s">
        <v>110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  <c r="Q53" s="9"/>
      <c r="R53" s="9"/>
      <c r="S53" s="9"/>
      <c r="T53" s="9"/>
      <c r="U53" s="8"/>
      <c r="V53" s="8"/>
      <c r="W53" s="9"/>
      <c r="X53" s="9"/>
      <c r="Y53" s="9"/>
      <c r="Z53" s="9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15"/>
      <c r="BG53" s="13"/>
      <c r="BH53" s="18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7"/>
      <c r="CI53" s="24"/>
      <c r="CJ53" s="24"/>
      <c r="CK53" s="16"/>
      <c r="CL53" s="16"/>
      <c r="CM53" s="24"/>
      <c r="CN53" s="18"/>
      <c r="CO53" s="18"/>
      <c r="CP53" s="18"/>
      <c r="CQ53" s="18"/>
      <c r="CR53" s="18"/>
      <c r="CS53" s="18"/>
      <c r="CT53" s="23"/>
      <c r="CU53" s="23"/>
      <c r="CV53" s="23"/>
    </row>
    <row r="54" spans="1:100" s="22" customFormat="1" ht="31.5" customHeight="1" x14ac:dyDescent="0.25">
      <c r="A54" s="10" t="s">
        <v>111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"/>
      <c r="Q54" s="9"/>
      <c r="R54" s="9"/>
      <c r="S54" s="9"/>
      <c r="T54" s="9"/>
      <c r="U54" s="8"/>
      <c r="V54" s="8"/>
      <c r="W54" s="9"/>
      <c r="X54" s="9"/>
      <c r="Y54" s="9"/>
      <c r="Z54" s="9"/>
      <c r="AA54" s="8"/>
      <c r="AB54" s="8"/>
      <c r="AC54" s="8"/>
      <c r="AD54" s="8"/>
      <c r="AE54" s="8"/>
      <c r="AF54" s="8"/>
      <c r="AG54" s="11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15"/>
      <c r="CI54" s="10"/>
      <c r="CJ54" s="10"/>
      <c r="CK54" s="10"/>
      <c r="CL54" s="10"/>
      <c r="CM54" s="10"/>
      <c r="CT54" s="10"/>
      <c r="CU54" s="10"/>
      <c r="CV54" s="10"/>
    </row>
    <row r="55" spans="1:100" ht="18.75" x14ac:dyDescent="0.25">
      <c r="A55" s="10" t="s">
        <v>112</v>
      </c>
      <c r="B55" s="11">
        <f t="shared" ref="B55:AG55" si="0">SUM(B3:B54)</f>
        <v>35</v>
      </c>
      <c r="C55" s="11">
        <f t="shared" si="0"/>
        <v>0</v>
      </c>
      <c r="D55" s="11">
        <f t="shared" si="0"/>
        <v>16</v>
      </c>
      <c r="E55" s="11">
        <f t="shared" si="0"/>
        <v>0</v>
      </c>
      <c r="F55" s="11">
        <f t="shared" si="0"/>
        <v>0</v>
      </c>
      <c r="G55" s="11">
        <f t="shared" si="0"/>
        <v>0</v>
      </c>
      <c r="H55" s="11">
        <f t="shared" si="0"/>
        <v>0</v>
      </c>
      <c r="I55" s="11">
        <f t="shared" si="0"/>
        <v>0</v>
      </c>
      <c r="J55" s="11">
        <f t="shared" si="0"/>
        <v>2</v>
      </c>
      <c r="K55" s="11">
        <f t="shared" si="0"/>
        <v>0</v>
      </c>
      <c r="L55" s="11">
        <f t="shared" si="0"/>
        <v>11</v>
      </c>
      <c r="M55" s="11">
        <f t="shared" si="0"/>
        <v>0</v>
      </c>
      <c r="N55" s="11">
        <f t="shared" si="0"/>
        <v>0</v>
      </c>
      <c r="O55" s="11">
        <f t="shared" si="0"/>
        <v>0</v>
      </c>
      <c r="P55" s="11">
        <f t="shared" si="0"/>
        <v>0</v>
      </c>
      <c r="Q55" s="11">
        <f t="shared" si="0"/>
        <v>0</v>
      </c>
      <c r="R55" s="11">
        <f t="shared" si="0"/>
        <v>1201</v>
      </c>
      <c r="S55" s="11">
        <f t="shared" si="0"/>
        <v>22</v>
      </c>
      <c r="T55" s="11">
        <f t="shared" si="0"/>
        <v>0</v>
      </c>
      <c r="U55" s="11">
        <f t="shared" si="0"/>
        <v>78021</v>
      </c>
      <c r="V55" s="11">
        <f t="shared" si="0"/>
        <v>24776</v>
      </c>
      <c r="W55" s="11">
        <f t="shared" si="0"/>
        <v>5025</v>
      </c>
      <c r="X55" s="11">
        <f t="shared" si="0"/>
        <v>1117</v>
      </c>
      <c r="Y55" s="11">
        <f t="shared" si="0"/>
        <v>6</v>
      </c>
      <c r="Z55" s="11">
        <f t="shared" si="0"/>
        <v>2</v>
      </c>
      <c r="AA55" s="11">
        <f t="shared" si="0"/>
        <v>1901</v>
      </c>
      <c r="AB55" s="11">
        <f t="shared" si="0"/>
        <v>461</v>
      </c>
      <c r="AC55" s="11">
        <f t="shared" si="0"/>
        <v>189</v>
      </c>
      <c r="AD55" s="11">
        <f t="shared" si="0"/>
        <v>0</v>
      </c>
      <c r="AE55" s="11">
        <f t="shared" si="0"/>
        <v>7</v>
      </c>
      <c r="AF55" s="11">
        <f t="shared" si="0"/>
        <v>0</v>
      </c>
      <c r="AG55" s="11">
        <f t="shared" si="0"/>
        <v>54</v>
      </c>
      <c r="AH55" s="11">
        <f t="shared" ref="AH55:BM55" si="1">SUM(AH3:AH54)</f>
        <v>0</v>
      </c>
      <c r="AI55" s="11">
        <f t="shared" si="1"/>
        <v>89</v>
      </c>
      <c r="AJ55" s="11">
        <f t="shared" si="1"/>
        <v>0</v>
      </c>
      <c r="AK55" s="11">
        <f t="shared" si="1"/>
        <v>0</v>
      </c>
      <c r="AL55" s="11">
        <f t="shared" si="1"/>
        <v>0</v>
      </c>
      <c r="AM55" s="11">
        <f t="shared" si="1"/>
        <v>0</v>
      </c>
      <c r="AN55" s="11">
        <f t="shared" si="1"/>
        <v>0</v>
      </c>
      <c r="AO55" s="11">
        <f t="shared" si="1"/>
        <v>0</v>
      </c>
      <c r="AP55" s="11">
        <f t="shared" si="1"/>
        <v>0</v>
      </c>
      <c r="AQ55" s="11">
        <f t="shared" si="1"/>
        <v>0</v>
      </c>
      <c r="AR55" s="11">
        <f t="shared" si="1"/>
        <v>0</v>
      </c>
      <c r="AS55" s="11">
        <f t="shared" si="1"/>
        <v>0</v>
      </c>
      <c r="AT55" s="11">
        <f t="shared" si="1"/>
        <v>0</v>
      </c>
      <c r="AU55" s="11">
        <f t="shared" si="1"/>
        <v>0</v>
      </c>
      <c r="AV55" s="11">
        <f t="shared" si="1"/>
        <v>0</v>
      </c>
      <c r="AW55" s="11">
        <f t="shared" si="1"/>
        <v>0</v>
      </c>
      <c r="AX55" s="11">
        <f t="shared" si="1"/>
        <v>0</v>
      </c>
      <c r="AY55" s="11">
        <f t="shared" si="1"/>
        <v>0</v>
      </c>
      <c r="AZ55" s="11">
        <f t="shared" si="1"/>
        <v>1110</v>
      </c>
      <c r="BA55" s="11">
        <f t="shared" si="1"/>
        <v>1110</v>
      </c>
      <c r="BB55" s="11">
        <f t="shared" si="1"/>
        <v>1110</v>
      </c>
      <c r="BC55" s="11">
        <f t="shared" si="1"/>
        <v>4151</v>
      </c>
      <c r="BD55" s="11">
        <f t="shared" si="1"/>
        <v>3985</v>
      </c>
      <c r="BE55" s="11">
        <f t="shared" si="1"/>
        <v>3926</v>
      </c>
      <c r="BF55" s="11">
        <f t="shared" si="1"/>
        <v>2762</v>
      </c>
      <c r="BG55" s="11">
        <f t="shared" si="1"/>
        <v>0</v>
      </c>
      <c r="BH55" s="11">
        <f t="shared" si="1"/>
        <v>34</v>
      </c>
      <c r="BI55" s="11">
        <f t="shared" si="1"/>
        <v>34</v>
      </c>
      <c r="BJ55" s="11">
        <f t="shared" si="1"/>
        <v>33</v>
      </c>
      <c r="BK55" s="11">
        <f t="shared" si="1"/>
        <v>1</v>
      </c>
      <c r="BL55" s="11">
        <f t="shared" si="1"/>
        <v>1</v>
      </c>
      <c r="BM55" s="11">
        <f t="shared" si="1"/>
        <v>0</v>
      </c>
      <c r="BN55" s="11">
        <f t="shared" ref="BN55:CV55" si="2">SUM(BN3:BN54)</f>
        <v>0</v>
      </c>
      <c r="BO55" s="11">
        <f t="shared" si="2"/>
        <v>0</v>
      </c>
      <c r="BP55" s="11">
        <f t="shared" si="2"/>
        <v>0</v>
      </c>
      <c r="BQ55" s="11">
        <f t="shared" si="2"/>
        <v>0</v>
      </c>
      <c r="BR55" s="11">
        <f t="shared" si="2"/>
        <v>0</v>
      </c>
      <c r="BS55" s="11">
        <f t="shared" si="2"/>
        <v>0</v>
      </c>
      <c r="BT55" s="11">
        <f t="shared" si="2"/>
        <v>0</v>
      </c>
      <c r="BU55" s="11">
        <f t="shared" si="2"/>
        <v>0</v>
      </c>
      <c r="BV55" s="11">
        <f t="shared" si="2"/>
        <v>0</v>
      </c>
      <c r="BW55" s="11">
        <f t="shared" si="2"/>
        <v>0</v>
      </c>
      <c r="BX55" s="11">
        <f t="shared" si="2"/>
        <v>0</v>
      </c>
      <c r="BY55" s="11">
        <f t="shared" si="2"/>
        <v>0</v>
      </c>
      <c r="BZ55" s="11">
        <f t="shared" si="2"/>
        <v>0</v>
      </c>
      <c r="CA55" s="11">
        <f t="shared" si="2"/>
        <v>0</v>
      </c>
      <c r="CB55" s="11">
        <f t="shared" si="2"/>
        <v>0</v>
      </c>
      <c r="CC55" s="11">
        <f t="shared" si="2"/>
        <v>0</v>
      </c>
      <c r="CD55" s="11">
        <f t="shared" si="2"/>
        <v>0</v>
      </c>
      <c r="CE55" s="11">
        <f t="shared" si="2"/>
        <v>0</v>
      </c>
      <c r="CF55" s="11">
        <f t="shared" si="2"/>
        <v>0</v>
      </c>
      <c r="CG55" s="11">
        <f t="shared" si="2"/>
        <v>0</v>
      </c>
      <c r="CH55" s="11">
        <f t="shared" si="2"/>
        <v>0</v>
      </c>
      <c r="CI55" s="11">
        <f t="shared" si="2"/>
        <v>1868</v>
      </c>
      <c r="CJ55" s="11">
        <f t="shared" si="2"/>
        <v>1622</v>
      </c>
      <c r="CK55" s="11">
        <f t="shared" si="2"/>
        <v>1179</v>
      </c>
      <c r="CL55" s="11">
        <f t="shared" si="2"/>
        <v>442</v>
      </c>
      <c r="CM55" s="11">
        <f t="shared" si="2"/>
        <v>16</v>
      </c>
      <c r="CN55" s="11">
        <f t="shared" si="2"/>
        <v>14</v>
      </c>
      <c r="CO55" s="11">
        <f t="shared" si="2"/>
        <v>12</v>
      </c>
      <c r="CP55" s="11">
        <f t="shared" si="2"/>
        <v>11</v>
      </c>
      <c r="CQ55" s="11">
        <f t="shared" si="2"/>
        <v>11</v>
      </c>
      <c r="CR55" s="11">
        <f t="shared" si="2"/>
        <v>2</v>
      </c>
      <c r="CS55" s="11">
        <f t="shared" si="2"/>
        <v>2</v>
      </c>
      <c r="CT55" s="11">
        <f t="shared" si="2"/>
        <v>80</v>
      </c>
      <c r="CU55" s="11">
        <f t="shared" si="2"/>
        <v>76</v>
      </c>
      <c r="CV55" s="11">
        <f t="shared" si="2"/>
        <v>76</v>
      </c>
    </row>
    <row r="424" spans="60:97" x14ac:dyDescent="0.25">
      <c r="BH424" s="18">
        <v>2</v>
      </c>
      <c r="BI424" s="18">
        <v>2</v>
      </c>
      <c r="BJ424" s="18">
        <v>2</v>
      </c>
      <c r="BK424" s="18">
        <v>0</v>
      </c>
      <c r="BL424" s="18">
        <v>0</v>
      </c>
      <c r="BM424" s="18">
        <v>0</v>
      </c>
      <c r="BN424" s="18">
        <v>0</v>
      </c>
      <c r="BO424" s="18">
        <v>0</v>
      </c>
      <c r="BP424" s="18">
        <v>0</v>
      </c>
      <c r="BQ424" s="18">
        <v>0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>
        <v>0</v>
      </c>
      <c r="BX424" s="18">
        <v>0</v>
      </c>
      <c r="BY424" s="18">
        <v>0</v>
      </c>
      <c r="BZ424" s="18">
        <v>0</v>
      </c>
      <c r="CA424" s="18">
        <v>0</v>
      </c>
      <c r="CB424" s="18">
        <v>0</v>
      </c>
      <c r="CC424" s="18">
        <v>0</v>
      </c>
      <c r="CD424" s="18">
        <v>0</v>
      </c>
      <c r="CE424" s="18">
        <v>0</v>
      </c>
      <c r="CF424" s="18">
        <v>0</v>
      </c>
      <c r="CG424" s="18">
        <v>0</v>
      </c>
      <c r="CH424" s="18">
        <v>0</v>
      </c>
      <c r="CI424" s="24">
        <v>0</v>
      </c>
      <c r="CJ424" s="24">
        <v>0</v>
      </c>
      <c r="CK424" s="24">
        <v>0</v>
      </c>
      <c r="CL424" s="24">
        <v>0</v>
      </c>
      <c r="CM424" s="24">
        <v>34</v>
      </c>
      <c r="CN424" s="18">
        <v>9</v>
      </c>
      <c r="CO424" s="18">
        <v>0</v>
      </c>
      <c r="CP424" s="18">
        <v>0</v>
      </c>
      <c r="CQ424" s="18">
        <v>0</v>
      </c>
      <c r="CR424" s="18">
        <v>0</v>
      </c>
      <c r="CS424" s="18">
        <v>0</v>
      </c>
    </row>
    <row r="425" spans="60:97" x14ac:dyDescent="0.25"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>
        <v>0</v>
      </c>
      <c r="BX425" s="18">
        <v>0</v>
      </c>
      <c r="BY425" s="18">
        <v>0</v>
      </c>
      <c r="BZ425" s="18">
        <v>0</v>
      </c>
      <c r="CA425" s="18">
        <v>0</v>
      </c>
      <c r="CB425" s="18">
        <v>0</v>
      </c>
      <c r="CC425" s="18">
        <v>0</v>
      </c>
      <c r="CD425" s="18">
        <v>0</v>
      </c>
      <c r="CE425" s="18">
        <v>0</v>
      </c>
      <c r="CF425" s="18">
        <v>0</v>
      </c>
      <c r="CG425" s="18">
        <v>0</v>
      </c>
      <c r="CH425" s="18">
        <v>0</v>
      </c>
      <c r="CI425" s="24">
        <v>173</v>
      </c>
      <c r="CJ425" s="24">
        <v>173</v>
      </c>
      <c r="CK425" s="24">
        <v>82</v>
      </c>
      <c r="CL425" s="24">
        <v>0</v>
      </c>
      <c r="CM425" s="24">
        <v>46</v>
      </c>
      <c r="CN425" s="18">
        <v>13</v>
      </c>
      <c r="CO425" s="18">
        <v>1</v>
      </c>
      <c r="CP425" s="18">
        <v>1</v>
      </c>
      <c r="CQ425" s="18">
        <v>0</v>
      </c>
      <c r="CR425" s="18">
        <v>0</v>
      </c>
      <c r="CS425" s="18">
        <v>0</v>
      </c>
    </row>
  </sheetData>
  <mergeCells count="36">
    <mergeCell ref="CT1:CV2"/>
    <mergeCell ref="CR1:CS1"/>
    <mergeCell ref="BI2:BP2"/>
    <mergeCell ref="BQ2:BX2"/>
    <mergeCell ref="BY2:CH2"/>
    <mergeCell ref="CK2:CL2"/>
    <mergeCell ref="CO1:CQ1"/>
    <mergeCell ref="BC1:BE1"/>
    <mergeCell ref="BF1:BF2"/>
    <mergeCell ref="BH1:CH1"/>
    <mergeCell ref="CI1:CL1"/>
    <mergeCell ref="CM1:CN1"/>
    <mergeCell ref="AZ1:BB1"/>
    <mergeCell ref="AA1:AD1"/>
    <mergeCell ref="AE1:AF1"/>
    <mergeCell ref="AG1:AH1"/>
    <mergeCell ref="AI1:AJ1"/>
    <mergeCell ref="AK1:AM1"/>
    <mergeCell ref="AN1:AO1"/>
    <mergeCell ref="AP1:AQ1"/>
    <mergeCell ref="AR1:AS1"/>
    <mergeCell ref="AT1:AU1"/>
    <mergeCell ref="AV1:AW1"/>
    <mergeCell ref="AX1:AY1"/>
    <mergeCell ref="W1:Z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S1:T1"/>
    <mergeCell ref="U1:V1"/>
  </mergeCells>
  <phoneticPr fontId="1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2024-07-01T15:18:59Z</cp:lastPrinted>
  <dcterms:created xsi:type="dcterms:W3CDTF">2024-07-01T15:17:33Z</dcterms:created>
  <dcterms:modified xsi:type="dcterms:W3CDTF">2025-06-09T15:04:08Z</dcterms:modified>
</cp:coreProperties>
</file>