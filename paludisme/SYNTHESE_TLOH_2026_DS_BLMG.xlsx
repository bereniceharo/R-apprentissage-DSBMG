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75" firstSheet="1" activeTab="1"/>
  </bookViews>
  <sheets>
    <sheet name="TLOH_2025_SYNTHESE" sheetId="2" state="hidden" r:id="rId1"/>
    <sheet name="Base TLOH 2026" sheetId="5" r:id="rId2"/>
    <sheet name="CAHIER TLOH" sheetId="3" state="hidden" r:id="rId3"/>
  </sheets>
  <externalReferences>
    <externalReference r:id="rId4"/>
    <externalReference r:id="rId5"/>
  </externalReferences>
  <definedNames>
    <definedName name="C_Coul">#REF!</definedName>
    <definedName name="C_Coul5">#REF!</definedName>
    <definedName name="Col">#REF!</definedName>
    <definedName name="deces">#REF!</definedName>
    <definedName name="District">#REF!</definedName>
    <definedName name="impr">#REF!</definedName>
    <definedName name="xdata1" hidden="1">-5+(ROW(OFFSET(#REF!,0,0,500,1))-1)*0.0200400802</definedName>
    <definedName name="ydata2" hidden="1">1+2*[1]!xdata1+3*[1]!xdata1^2</definedName>
    <definedName name="Zone">#REF!</definedName>
    <definedName name="Zone1">'C:\2019\2017_bulletin de veille\Bulletin de veille PNLP_moins 5ans.xlsm'!Tableau248[District1]</definedName>
    <definedName name="Zone2">'C:\2019\2017_bulletin de veille\Bulletin de veille PNLP_moins 5ans.xlsm'!Tableau2489[District2]</definedName>
    <definedName name="Zone3">'C:\2019\2017_bulletin de veille\Bulletin de veille PNLP_moins 5ans.xlsm'!Tableau248910[District3]</definedName>
    <definedName name="ZoneCou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<sst xmlns="http://schemas.openxmlformats.org/spreadsheetml/2006/main" count="746" uniqueCount="341">
  <si>
    <t>SYNTHESE HEBDOMADAIRE DU TLOH 2025 AU DISTRCIT SANITAIRE DE BASKUY</t>
  </si>
  <si>
    <t>NOTIFICATION DES MALADIES ET EVENEMENTS</t>
  </si>
  <si>
    <t>LABORATOIRE   MENINGITE</t>
  </si>
  <si>
    <t>TDR DENGUE</t>
  </si>
  <si>
    <t>PRELEVEMENTS CAS ROUGEOLE</t>
  </si>
  <si>
    <t>PRELEVEMENTS CAS PFA</t>
  </si>
  <si>
    <t>PRELEVEMENTS CAS ICTERES FEBRILES</t>
  </si>
  <si>
    <t>SEMAINE EPI</t>
  </si>
  <si>
    <t>Méningite</t>
  </si>
  <si>
    <t>Rougeole</t>
  </si>
  <si>
    <t>Diarrhée sanguinolente</t>
  </si>
  <si>
    <t>Choléra</t>
  </si>
  <si>
    <t>Ictère fébrile</t>
  </si>
  <si>
    <t>PFA</t>
  </si>
  <si>
    <t>TNN</t>
  </si>
  <si>
    <t>VDG</t>
  </si>
  <si>
    <t>SG</t>
  </si>
  <si>
    <t>IRAS</t>
  </si>
  <si>
    <t>PS</t>
  </si>
  <si>
    <t>PG</t>
  </si>
  <si>
    <t>Dengue</t>
  </si>
  <si>
    <t>DM</t>
  </si>
  <si>
    <t>Mort Né</t>
  </si>
  <si>
    <t>Décès périnatal</t>
  </si>
  <si>
    <t>COVID-19</t>
  </si>
  <si>
    <t>Charbon</t>
  </si>
  <si>
    <t>Grippe humaine due à un nouveau sous type</t>
  </si>
  <si>
    <t>Maladie à virus Ebola</t>
  </si>
  <si>
    <t>Fièvre de Lassa</t>
  </si>
  <si>
    <t>Maladie à virus Zika</t>
  </si>
  <si>
    <t>Fièvre de la Vallée du Rift</t>
  </si>
  <si>
    <t>Transmission FS Publiques</t>
  </si>
  <si>
    <t>Transmission FS Privées</t>
  </si>
  <si>
    <t>VARICELLE</t>
  </si>
  <si>
    <t>NBRE PRELEVE</t>
  </si>
  <si>
    <t>GRAM</t>
  </si>
  <si>
    <t>LATEX</t>
  </si>
  <si>
    <t>CULTURE</t>
  </si>
  <si>
    <t xml:space="preserve">NBRE DE CAS </t>
  </si>
  <si>
    <t>NBRE TESTE</t>
  </si>
  <si>
    <t>TDR</t>
  </si>
  <si>
    <t>NBRE DE CAS</t>
  </si>
  <si>
    <t>NBRE DE CAS AYANT BENEFICIE DE PRELEVEMENT</t>
  </si>
  <si>
    <t xml:space="preserve">'NBRE DE CAS </t>
  </si>
  <si>
    <t>PRELEVEMENT SELLES DANS LES 14 JOURS</t>
  </si>
  <si>
    <t>Transmission Autres Publics</t>
  </si>
  <si>
    <t>Transmission FS Privées pures</t>
  </si>
  <si>
    <t>Cas</t>
  </si>
  <si>
    <t>DCD</t>
  </si>
  <si>
    <t>Notifié</t>
  </si>
  <si>
    <t>Isolé</t>
  </si>
  <si>
    <r>
      <rPr>
        <b/>
        <sz val="11"/>
        <color rgb="FF000000"/>
        <rFont val="Arial"/>
        <charset val="134"/>
      </rPr>
      <t xml:space="preserve">dont </t>
    </r>
    <r>
      <rPr>
        <b/>
        <sz val="11"/>
        <color rgb="FF000000"/>
        <rFont val="Calibri"/>
        <charset val="134"/>
      </rPr>
      <t>&lt; 5ans</t>
    </r>
  </si>
  <si>
    <t>Cas suspects</t>
  </si>
  <si>
    <t>Cas probables</t>
  </si>
  <si>
    <t>Cas hospitalisés</t>
  </si>
  <si>
    <t>FS</t>
  </si>
  <si>
    <t>Cté</t>
  </si>
  <si>
    <t>cas confirmé</t>
  </si>
  <si>
    <t>Attendus</t>
  </si>
  <si>
    <t>Reçus</t>
  </si>
  <si>
    <t>Reçus  à temps</t>
  </si>
  <si>
    <t>NBRE</t>
  </si>
  <si>
    <t>NEG</t>
  </si>
  <si>
    <t>POS</t>
  </si>
  <si>
    <t>DGP</t>
  </si>
  <si>
    <t>DGN</t>
  </si>
  <si>
    <t>BGN</t>
  </si>
  <si>
    <t>BGP</t>
  </si>
  <si>
    <t>AUTRE</t>
  </si>
  <si>
    <t>NmA</t>
  </si>
  <si>
    <t>NmC</t>
  </si>
  <si>
    <t>NmW/Y</t>
  </si>
  <si>
    <t>SP</t>
  </si>
  <si>
    <t>Hib</t>
  </si>
  <si>
    <t>NmX</t>
  </si>
  <si>
    <t>NmW</t>
  </si>
  <si>
    <t>Autre</t>
  </si>
  <si>
    <t>TLOH Attendus</t>
  </si>
  <si>
    <t>TLOH Reçus</t>
  </si>
  <si>
    <t>TLOH Reçus à Temps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</si>
  <si>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</si>
  <si>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</si>
  <si>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</si>
  <si>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</si>
  <si>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</si>
  <si>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</si>
  <si>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</si>
  <si>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</si>
  <si>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</si>
  <si>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</si>
  <si>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</si>
  <si>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</si>
  <si>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</si>
  <si>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</si>
  <si>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</si>
  <si>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</si>
  <si>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</si>
  <si>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</si>
  <si>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</si>
  <si>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</si>
  <si>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</si>
  <si>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</si>
  <si>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</si>
  <si>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</si>
  <si>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</si>
  <si>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</si>
  <si>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</si>
  <si>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</si>
  <si>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</si>
  <si>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</si>
  <si>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</si>
  <si>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</si>
  <si>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</si>
  <si>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</si>
  <si>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</si>
  <si>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</si>
  <si>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</si>
  <si>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</si>
  <si>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</si>
  <si>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</si>
  <si>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</si>
  <si>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</si>
  <si>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</si>
  <si>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</si>
  <si>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</si>
  <si>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</si>
  <si>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</si>
  <si>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</si>
  <si>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</si>
  <si>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</si>
  <si>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</si>
  <si>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</si>
  <si>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</si>
  <si>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TOTAL</t>
  </si>
  <si>
    <t>PS=Paludisme simple, PG=Paludisme grave, SG=Syndromes grippaux, IRAS=Infections respiratoires aigües sévères, DM=Décès maternel, DNN=Décès néonatal</t>
  </si>
  <si>
    <t>Commentaires</t>
  </si>
  <si>
    <t xml:space="preserve">Le Responsable du SISSE                                                                                                                                                   </t>
  </si>
  <si>
    <t>Le Médecin chef du district</t>
  </si>
  <si>
    <t>M. NEYA Bessibie</t>
  </si>
  <si>
    <t>Dr Natogma Ursule BAMBARA</t>
  </si>
  <si>
    <t>Étiquettes de lignes</t>
  </si>
  <si>
    <t>Somme de Meningite_cas</t>
  </si>
  <si>
    <t>Somme de Meningite_dcd</t>
  </si>
  <si>
    <t>Somme de Rougeole_cas</t>
  </si>
  <si>
    <t>Somme de Rougeole_dcd</t>
  </si>
  <si>
    <t>Somme de Diarrhee_Sang_cas</t>
  </si>
  <si>
    <t>Somme de Diarrhee_Sang_dcd</t>
  </si>
  <si>
    <t>Somme de Cholera_cas</t>
  </si>
  <si>
    <t>Somme de Cholera_dcd</t>
  </si>
  <si>
    <t>Somme de Ictere_febrile_cas</t>
  </si>
  <si>
    <t>Somme de Ictere_febrile_dcd</t>
  </si>
  <si>
    <t>Somme de PFA_cas</t>
  </si>
  <si>
    <t>Somme de PFA_dcd</t>
  </si>
  <si>
    <t>Somme de Tetanos_neonatal_cas</t>
  </si>
  <si>
    <t>Somme de Tetanos_neonatal_dcd</t>
  </si>
  <si>
    <t>Somme de Vers_de_Guinée_notifie</t>
  </si>
  <si>
    <t>Somme de Vers_de_Guinée_isole</t>
  </si>
  <si>
    <t>Somme de Syndrome_Grippaux_cas</t>
  </si>
  <si>
    <t>Somme de IRAS_cas</t>
  </si>
  <si>
    <t>Somme de IRAS_dcd</t>
  </si>
  <si>
    <t>Somme de Paludisme_simple_total_cas</t>
  </si>
  <si>
    <t>Somme de Paludisme_simple_enafants_&lt;5ans</t>
  </si>
  <si>
    <t>Somme de Paludisme_grave_total_cas</t>
  </si>
  <si>
    <t>Somme de Paludisme_grave_enafants_&lt;5ans</t>
  </si>
  <si>
    <t>Somme de Paludisme_grave_total_dcd</t>
  </si>
  <si>
    <t>Somme de Paludisme_grave_enafants_&lt;5ans_dcd</t>
  </si>
  <si>
    <t>Somme de Dengue_cas_suspect</t>
  </si>
  <si>
    <t>Somme de Dengue_cas_probable</t>
  </si>
  <si>
    <t>Somme de Dengue_cas_hospitalise</t>
  </si>
  <si>
    <t>Somme de Dengue_dcd</t>
  </si>
  <si>
    <t>Somme de Deces_maternel_en_FS</t>
  </si>
  <si>
    <t>Somme de Deces_maternel_en_Cmte</t>
  </si>
  <si>
    <t>Somme de Mort_ne_en_FS</t>
  </si>
  <si>
    <t>Somme de Mort_ne__en_Cmte</t>
  </si>
  <si>
    <t>Somme de Deces_perinatal_en_FS</t>
  </si>
  <si>
    <t>Somme de Deces_perinatal_en_Cmte</t>
  </si>
  <si>
    <t>Somme de Covid_19_cas_suspect</t>
  </si>
  <si>
    <t>Somme de Covid_19_cas_confirme</t>
  </si>
  <si>
    <t>Somme de Covid_19_dcd</t>
  </si>
  <si>
    <t>Somme de Charbon_cas</t>
  </si>
  <si>
    <t>Somme de Charbon_dcd</t>
  </si>
  <si>
    <t>Somme de Grippe_humaine_due_a_un_nouveau_sous_type_cas</t>
  </si>
  <si>
    <t>Somme de Grippe_humaine_due_a_un_nouveau_sous_type_dcd</t>
  </si>
  <si>
    <t>Somme de Maladie_a_virus_Ebola_cas</t>
  </si>
  <si>
    <t>Somme de Maladie_a_virus_Ebola_dcd</t>
  </si>
  <si>
    <t>Somme de Fièvre_de_Lassa_cas</t>
  </si>
  <si>
    <t>Somme de Fièvre_de_Lassa_dcd</t>
  </si>
  <si>
    <t>Somme de Maladie_a_virus_Zika_cas</t>
  </si>
  <si>
    <t>Somme de Maladie_a_virus_Zika_dcd</t>
  </si>
  <si>
    <t>Somme de Fievre_de_la_Vallee_du_Rift_cas</t>
  </si>
  <si>
    <t>Somme de Fievre_de_la_Vallee_du_Rift_dcd</t>
  </si>
  <si>
    <t>Somme de TLOH ATTENDU PUBLIC</t>
  </si>
  <si>
    <t>Somme de TLOH RECU PUBLIC</t>
  </si>
  <si>
    <t>Somme de TLOH RECU A TEMPS PUBLIC</t>
  </si>
  <si>
    <t>Somme de TLOH ATTENDU PRIVE</t>
  </si>
  <si>
    <t>Somme de TLOH RECU PRIVE</t>
  </si>
  <si>
    <t>Somme de TLOH RECU A TEMPS PRIVE</t>
  </si>
  <si>
    <t>Somme de VARICELLE CAS</t>
  </si>
  <si>
    <t>Somme de VARICELLE CAS2</t>
  </si>
  <si>
    <t xml:space="preserve">Somme de NBRE PRELEVEMENTS </t>
  </si>
  <si>
    <t>Somme de NBRE LCR</t>
  </si>
  <si>
    <t>Somme de NEGATIF AU GRAM</t>
  </si>
  <si>
    <t>Somme de POSITIF AU GRAM</t>
  </si>
  <si>
    <t>Somme de Nbre_LCR_Positif_au_Gram_DGP</t>
  </si>
  <si>
    <t>Somme de Nbre_LCR_Positif_au_Gram_DGN</t>
  </si>
  <si>
    <t>Somme de Nbre_LCR_Positif_au_Gram_BGN</t>
  </si>
  <si>
    <t>Somme de Nbre_LCR_Positif_au_Gram_BGP</t>
  </si>
  <si>
    <t>Somme de Nbre_LCR_Positif_au_Gram_autre</t>
  </si>
  <si>
    <t>Somme de Nbre_prelevements_LCR_teste_au_Latex</t>
  </si>
  <si>
    <t>Somme de Nbre_LCR_Negatif_au_Latex</t>
  </si>
  <si>
    <t>Somme de Nbre_LCR_Positif_au_Latex</t>
  </si>
  <si>
    <t>Somme de Nbre_LCR_Positif_au_Latex_NmA</t>
  </si>
  <si>
    <t>Somme de Nbre_LCR_Positif_au_Latex_NmC</t>
  </si>
  <si>
    <t>Somme de Nbre_LCR_Positif_au_Latex_NmW/Y</t>
  </si>
  <si>
    <t>Somme de Nbre_LCR_Positif_au_Latex_SP</t>
  </si>
  <si>
    <t>Somme de Nbre_LCR_Positif_au_Latex_Hib</t>
  </si>
  <si>
    <t>Somme de Nbre_prelevements_LCR_teste_par_Culture</t>
  </si>
  <si>
    <t>Somme de Nbre_LCR_Negatif_a_la_culture</t>
  </si>
  <si>
    <t>Somme de Nbre_LCR_Positif_a_la_culture</t>
  </si>
  <si>
    <t>Somme de Nbre_LCR_Positif_a_la_culture_NmA</t>
  </si>
  <si>
    <t>Somme de Nbre_LCR_Positif_a_la_culture_NmC</t>
  </si>
  <si>
    <t>Somme de Nbre_LCR_Positif_a_la_culture_NmX</t>
  </si>
  <si>
    <t>Somme de Nbre_LCR_Positif_a_la_culture_NmW</t>
  </si>
  <si>
    <t>Somme de Nbre_LCR_Positif_a_la_culture_SP</t>
  </si>
  <si>
    <t>Somme de Nbre_LCR_Positif_a_la_culture_Hib</t>
  </si>
  <si>
    <t>Somme de Nbre_LCR_Positif_a_la_culture_autre</t>
  </si>
  <si>
    <t>Somme de Dengue_cas_suspect2</t>
  </si>
  <si>
    <t>Somme de Nbre_cas_Dengue_testes_au_TDR_Dengue</t>
  </si>
  <si>
    <t>Somme de Nbre_cas_negatif_au_TDR_Dengue</t>
  </si>
  <si>
    <t>Somme de Nbre_cas_positif_au_TDR_Dengue</t>
  </si>
  <si>
    <t>Somme de Nbre_cas_Rougeole_enregistres</t>
  </si>
  <si>
    <t>Somme de Nbre_Prelevements_Rougeole</t>
  </si>
  <si>
    <t>Somme de PFA_cas2</t>
  </si>
  <si>
    <t>Somme de Nbre_Prelevements_PFA</t>
  </si>
  <si>
    <t>Somme de Dont_Nbre_Prelevements_PFA_Realise dans les 14Jours de la maladie</t>
  </si>
  <si>
    <t>Somme de Ictere_febrile_cas2</t>
  </si>
  <si>
    <t>Somme de Nbre_Prelevements_Ictere_febrile</t>
  </si>
  <si>
    <t>Somme de TLOH ATTENDU AUTRE PUBLIC</t>
  </si>
  <si>
    <t>Somme de TLOH RECU AUTRE PUBLIC</t>
  </si>
  <si>
    <t>Somme de TLOH RECU A TEMPS AUTRE PUBLIC</t>
  </si>
  <si>
    <t>Somme de TLOH  TOTAL ATTENDU</t>
  </si>
  <si>
    <t>Somme de TLOH TOTAL RECU</t>
  </si>
  <si>
    <t>Somme de TLOH TOTAL RECU A TEMPS</t>
  </si>
  <si>
    <t>Total général</t>
  </si>
  <si>
    <t>Semaines Epidémiologiques</t>
  </si>
  <si>
    <t>Diarrhée sanguinolente (Shigellose)</t>
  </si>
  <si>
    <t>Ictère Fébrile (fièvre jaune)</t>
  </si>
  <si>
    <t>Paralysie flasque aigue (PFA)</t>
  </si>
  <si>
    <t>Tétanos Neo natal (TNN)</t>
  </si>
  <si>
    <t>COVID 19</t>
  </si>
  <si>
    <t>Ver de Guinée</t>
  </si>
  <si>
    <t>Syndromes Grippaux (SG)</t>
  </si>
  <si>
    <t>Infection Respiratoire Aigüe Sévère (IRAS)</t>
  </si>
  <si>
    <t>Paludisme Simple</t>
  </si>
  <si>
    <t>Paludisme Grave</t>
  </si>
  <si>
    <t xml:space="preserve">Charbon </t>
  </si>
  <si>
    <t>Fièvre de la Vallé du Rift</t>
  </si>
  <si>
    <t>Décès maternel</t>
  </si>
  <si>
    <t>Mort-né</t>
  </si>
  <si>
    <t>Décès néo natal précoce</t>
  </si>
  <si>
    <t>Evènement inabituel</t>
  </si>
  <si>
    <t>Décès</t>
  </si>
  <si>
    <t>Cas confirmés</t>
  </si>
  <si>
    <t>décès</t>
  </si>
  <si>
    <t>cas</t>
  </si>
  <si>
    <t>Total cas</t>
  </si>
  <si>
    <t>dont &lt; 5ans</t>
  </si>
  <si>
    <t xml:space="preserve">DCD </t>
  </si>
  <si>
    <t>Probables</t>
  </si>
  <si>
    <t>Hospitalisés</t>
  </si>
  <si>
    <t xml:space="preserve">Cas </t>
  </si>
  <si>
    <t xml:space="preserve">décès </t>
  </si>
  <si>
    <t>Institution</t>
  </si>
  <si>
    <t>Communauté</t>
  </si>
  <si>
    <t>Autres FS Publiques</t>
  </si>
  <si>
    <t>Ictère Fébrile</t>
  </si>
  <si>
    <t>Tétanos Neo natal</t>
  </si>
  <si>
    <t>Syndromes Grippaux</t>
  </si>
  <si>
    <t>Infection Respiratoire Aigüe Sévère</t>
  </si>
  <si>
    <t>Palu Simple</t>
  </si>
  <si>
    <t>Cas Probables</t>
  </si>
  <si>
    <t>Taux d´attaque Hebdo</t>
  </si>
  <si>
    <t>DIARRHEE</t>
  </si>
  <si>
    <t>Total nouveaux consultants</t>
  </si>
  <si>
    <t>Semaine Epi</t>
  </si>
  <si>
    <t>1.Gratuité des soins au niveau CSPS/CM</t>
  </si>
  <si>
    <t xml:space="preserve">3. Gestion des médicaments </t>
  </si>
  <si>
    <t xml:space="preserve">1.1. Nombre d'enfants de 0 à 5 ans PEC </t>
  </si>
  <si>
    <t>1.2. Nombre de d'accouchements réalisés</t>
  </si>
  <si>
    <t>1.4. Nombre de FE prise en charge</t>
  </si>
  <si>
    <t>3.1. CSPS/CM:</t>
  </si>
  <si>
    <t>Rupture d'au moins un médicament au DMEG (1 = OUI ou 0 = NON)</t>
  </si>
  <si>
    <t>CPN</t>
  </si>
  <si>
    <t>CPOST</t>
  </si>
  <si>
    <t>CANCER</t>
  </si>
  <si>
    <t>Ref</t>
  </si>
  <si>
    <t>Evacuation</t>
  </si>
  <si>
    <t>MAS</t>
  </si>
  <si>
    <t>MAM</t>
  </si>
  <si>
    <t>PPN</t>
  </si>
  <si>
    <t>Maladies sous surveillance</t>
  </si>
  <si>
    <t xml:space="preserve">Cumul S1 à </t>
  </si>
  <si>
    <t>Observations</t>
  </si>
  <si>
    <t>Nombre de cas</t>
  </si>
  <si>
    <t>STATUT FS</t>
  </si>
  <si>
    <t>Attendu</t>
  </si>
  <si>
    <t>Reçu</t>
  </si>
  <si>
    <t>Temps</t>
  </si>
  <si>
    <t>Complétude %</t>
  </si>
  <si>
    <t>Promptitude %</t>
  </si>
  <si>
    <t>Publiques :</t>
  </si>
  <si>
    <t>Suspects</t>
  </si>
  <si>
    <t>Privées :</t>
  </si>
  <si>
    <t>Autres Publiques :</t>
  </si>
  <si>
    <t>Total DS</t>
  </si>
  <si>
    <t>Diarrhée sanguinolente(Shigellose)</t>
  </si>
  <si>
    <t>Ictère fébrile (Fièvre jaune)</t>
  </si>
  <si>
    <t>Paralysie flasque aigüe (PFA)</t>
  </si>
  <si>
    <t>Tétanos néonatal (TNN)</t>
  </si>
  <si>
    <t>Syndromes grippaux (SG)</t>
  </si>
  <si>
    <t>Infections respiratoires aigües sévères (IRAS)</t>
  </si>
  <si>
    <t>Covid_19</t>
  </si>
  <si>
    <t>Confirmés</t>
  </si>
  <si>
    <t>Paludisme simple</t>
  </si>
  <si>
    <t>Dont Paludisme simple moins de 5ans</t>
  </si>
  <si>
    <t>Paludisme grave</t>
  </si>
  <si>
    <t>Dont Paludisme grave moins de 5 ans</t>
  </si>
  <si>
    <t>Enfants &lt; 5 ans PEC</t>
  </si>
  <si>
    <t>Nombre d’accouchement</t>
  </si>
  <si>
    <t>Femme enceinte PEC</t>
  </si>
  <si>
    <t>Rupture</t>
  </si>
  <si>
    <t>CPoN</t>
  </si>
  <si>
    <t>CCU</t>
  </si>
  <si>
    <t>Référence</t>
  </si>
  <si>
    <t>Décès maternel et périnatal</t>
  </si>
  <si>
    <t>En institution</t>
  </si>
  <si>
    <t>En communauté</t>
  </si>
  <si>
    <t xml:space="preserve">Décès périnatal </t>
  </si>
  <si>
    <t>Diarrhée</t>
  </si>
  <si>
    <t>Varicelle</t>
  </si>
  <si>
    <t>Nouveaux consultants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</si>
</sst>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_-* #,##0.00\ _€_-;\-* #,##0.00\ _€_-;_-* &quot;-&quot;??\ _€_-;_-@_-"/>
    <numFmt numFmtId="179" formatCode="#,##0;[Red]#,##0"/>
  </numFmts>
  <fonts count="7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name val="Arial"/>
      <charset val="134"/>
    </font>
    <font>
      <b/>
      <sz val="9"/>
      <name val="Arial"/>
      <charset val="134"/>
    </font>
    <font>
      <b/>
      <sz val="9"/>
      <color rgb="FFFF0000"/>
      <name val="Arial"/>
      <charset val="134"/>
    </font>
    <font>
      <b/>
      <sz val="9"/>
      <color theme="1"/>
      <name val="Arial"/>
      <charset val="134"/>
    </font>
    <font>
      <sz val="9"/>
      <name val="Arial Narrow"/>
      <charset val="134"/>
    </font>
    <font>
      <b/>
      <i/>
      <sz val="9"/>
      <name val="Arial"/>
      <charset val="134"/>
    </font>
    <font>
      <b/>
      <sz val="9"/>
      <color rgb="FF00B050"/>
      <name val="Arial"/>
      <charset val="134"/>
    </font>
    <font>
      <b/>
      <sz val="11"/>
      <color rgb="FF000000"/>
      <name val="Arial"/>
      <charset val="134"/>
    </font>
    <font>
      <b/>
      <sz val="14"/>
      <color theme="0"/>
      <name val="Arial"/>
      <charset val="134"/>
    </font>
    <font>
      <b/>
      <sz val="11"/>
      <color theme="1"/>
      <name val="Arial Narrow"/>
      <charset val="134"/>
    </font>
    <font>
      <sz val="10"/>
      <color theme="1"/>
      <name val="Arial Narrow"/>
      <charset val="134"/>
    </font>
    <font>
      <b/>
      <sz val="10"/>
      <color theme="1"/>
      <name val="Arial Narrow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b/>
      <sz val="10"/>
      <color theme="1" tint="0.0499893185216834"/>
      <name val="Arial"/>
      <charset val="134"/>
    </font>
    <font>
      <sz val="13"/>
      <color theme="1"/>
      <name val="Calibri"/>
      <charset val="134"/>
      <scheme val="minor"/>
    </font>
    <font>
      <sz val="13"/>
      <name val="Calibri"/>
      <charset val="134"/>
      <scheme val="minor"/>
    </font>
    <font>
      <b/>
      <sz val="13"/>
      <name val="Arial"/>
      <charset val="134"/>
    </font>
    <font>
      <sz val="13"/>
      <name val="Arial"/>
      <charset val="134"/>
    </font>
    <font>
      <sz val="13"/>
      <color rgb="FFFF0000"/>
      <name val="Arial"/>
      <charset val="134"/>
    </font>
    <font>
      <b/>
      <sz val="13"/>
      <color theme="1"/>
      <name val="Arial"/>
      <charset val="134"/>
    </font>
    <font>
      <sz val="13"/>
      <color rgb="FFFF0000"/>
      <name val="Garamond"/>
      <charset val="134"/>
    </font>
    <font>
      <i/>
      <sz val="13"/>
      <name val="Arial"/>
      <charset val="134"/>
    </font>
    <font>
      <b/>
      <sz val="13"/>
      <color rgb="FFFF0000"/>
      <name val="Arial"/>
      <charset val="134"/>
    </font>
    <font>
      <b/>
      <i/>
      <sz val="13"/>
      <name val="Arial"/>
      <charset val="134"/>
    </font>
    <font>
      <i/>
      <sz val="13"/>
      <color rgb="FFFF0000"/>
      <name val="Garamond"/>
      <charset val="134"/>
    </font>
    <font>
      <b/>
      <sz val="13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b/>
      <sz val="16"/>
      <color rgb="FF000000"/>
      <name val="Arial"/>
      <charset val="134"/>
    </font>
    <font>
      <b/>
      <sz val="12"/>
      <color rgb="FF000000"/>
      <name val="Arial"/>
      <charset val="134"/>
    </font>
    <font>
      <b/>
      <sz val="20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rgb="FFFF0000"/>
      <name val="Arial"/>
      <charset val="134"/>
    </font>
    <font>
      <b/>
      <sz val="11"/>
      <name val="Arial"/>
      <charset val="134"/>
    </font>
    <font>
      <b/>
      <i/>
      <sz val="8"/>
      <name val="Arial"/>
      <charset val="134"/>
    </font>
    <font>
      <b/>
      <i/>
      <sz val="11"/>
      <name val="Arial"/>
      <charset val="134"/>
    </font>
    <font>
      <sz val="12"/>
      <color rgb="FF000000"/>
      <name val="Arial"/>
      <charset val="134"/>
    </font>
    <font>
      <b/>
      <i/>
      <sz val="9"/>
      <color rgb="FF000000"/>
      <name val="Calibri"/>
      <charset val="134"/>
    </font>
    <font>
      <sz val="11"/>
      <color theme="1"/>
      <name val="Calibri"/>
      <charset val="134"/>
    </font>
    <font>
      <b/>
      <sz val="14"/>
      <color rgb="FFFF0000"/>
      <name val="Calibri"/>
      <charset val="134"/>
    </font>
    <font>
      <sz val="12"/>
      <color rgb="FFFF0000"/>
      <name val="Calibri"/>
      <charset val="134"/>
    </font>
    <font>
      <sz val="12"/>
      <color rgb="FF000000"/>
      <name val="Calibri"/>
      <charset val="134"/>
    </font>
    <font>
      <b/>
      <sz val="12"/>
      <color rgb="FFFF0000"/>
      <name val="Arial"/>
      <charset val="134"/>
    </font>
    <font>
      <b/>
      <sz val="11"/>
      <color rgb="FFFF0000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b/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52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5117038483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21" borderId="76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77" applyNumberFormat="0" applyFill="0" applyAlignment="0" applyProtection="0">
      <alignment vertical="center"/>
    </xf>
    <xf numFmtId="0" fontId="65" fillId="0" borderId="77" applyNumberFormat="0" applyFill="0" applyAlignment="0" applyProtection="0">
      <alignment vertical="center"/>
    </xf>
    <xf numFmtId="0" fontId="66" fillId="0" borderId="78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22" borderId="79" applyNumberFormat="0" applyAlignment="0" applyProtection="0">
      <alignment vertical="center"/>
    </xf>
    <xf numFmtId="0" fontId="68" fillId="23" borderId="80" applyNumberFormat="0" applyAlignment="0" applyProtection="0">
      <alignment vertical="center"/>
    </xf>
    <xf numFmtId="0" fontId="69" fillId="23" borderId="79" applyNumberFormat="0" applyAlignment="0" applyProtection="0">
      <alignment vertical="center"/>
    </xf>
    <xf numFmtId="0" fontId="70" fillId="24" borderId="81" applyNumberFormat="0" applyAlignment="0" applyProtection="0">
      <alignment vertical="center"/>
    </xf>
    <xf numFmtId="0" fontId="71" fillId="0" borderId="82" applyNumberFormat="0" applyFill="0" applyAlignment="0" applyProtection="0">
      <alignment vertical="center"/>
    </xf>
    <xf numFmtId="0" fontId="72" fillId="0" borderId="83" applyNumberFormat="0" applyFill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7" fillId="49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6" fillId="51" borderId="0" applyNumberFormat="0" applyBorder="0" applyAlignment="0" applyProtection="0">
      <alignment vertical="center"/>
    </xf>
    <xf numFmtId="178" fontId="58" fillId="0" borderId="0" applyFont="0" applyFill="0" applyBorder="0" applyAlignment="0" applyProtection="0"/>
    <xf numFmtId="178" fontId="58" fillId="0" borderId="0" applyFont="0" applyFill="0" applyBorder="0" applyAlignment="0" applyProtection="0"/>
    <xf numFmtId="178" fontId="58" fillId="0" borderId="0" applyFont="0" applyFill="0" applyBorder="0" applyAlignment="0" applyProtection="0"/>
    <xf numFmtId="0" fontId="55" fillId="0" borderId="0"/>
    <xf numFmtId="0" fontId="58" fillId="0" borderId="0"/>
    <xf numFmtId="0" fontId="55" fillId="0" borderId="0"/>
  </cellStyleXfs>
  <cellXfs count="27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wrapText="1"/>
    </xf>
    <xf numFmtId="0" fontId="6" fillId="9" borderId="11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horizontal="center" wrapText="1"/>
    </xf>
    <xf numFmtId="0" fontId="6" fillId="7" borderId="12" xfId="0" applyFont="1" applyFill="1" applyBorder="1" applyAlignment="1">
      <alignment horizontal="center" wrapText="1"/>
    </xf>
    <xf numFmtId="0" fontId="6" fillId="7" borderId="11" xfId="0" applyFont="1" applyFill="1" applyBorder="1" applyAlignment="1">
      <alignment horizontal="center" wrapText="1"/>
    </xf>
    <xf numFmtId="0" fontId="6" fillId="9" borderId="7" xfId="0" applyFont="1" applyFill="1" applyBorder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17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wrapText="1"/>
    </xf>
    <xf numFmtId="0" fontId="14" fillId="11" borderId="21" xfId="0" applyFont="1" applyFill="1" applyBorder="1" applyAlignment="1">
      <alignment horizontal="center" wrapText="1"/>
    </xf>
    <xf numFmtId="0" fontId="12" fillId="0" borderId="13" xfId="0" applyFont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wrapText="1"/>
    </xf>
    <xf numFmtId="0" fontId="13" fillId="11" borderId="13" xfId="0" applyFont="1" applyFill="1" applyBorder="1" applyAlignment="1">
      <alignment wrapText="1"/>
    </xf>
    <xf numFmtId="0" fontId="0" fillId="9" borderId="4" xfId="0" applyFill="1" applyBorder="1"/>
    <xf numFmtId="0" fontId="0" fillId="11" borderId="4" xfId="0" applyFill="1" applyBorder="1"/>
    <xf numFmtId="0" fontId="2" fillId="10" borderId="1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22" xfId="0" applyFont="1" applyBorder="1" applyAlignment="1">
      <alignment horizontal="center" wrapText="1"/>
    </xf>
    <xf numFmtId="0" fontId="15" fillId="12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right" vertical="center"/>
    </xf>
    <xf numFmtId="0" fontId="16" fillId="6" borderId="26" xfId="0" applyFont="1" applyFill="1" applyBorder="1" applyAlignment="1">
      <alignment horizontal="right" vertical="center"/>
    </xf>
    <xf numFmtId="0" fontId="16" fillId="6" borderId="27" xfId="0" applyFont="1" applyFill="1" applyBorder="1" applyAlignment="1">
      <alignment vertical="center"/>
    </xf>
    <xf numFmtId="0" fontId="16" fillId="6" borderId="28" xfId="0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6" fillId="6" borderId="30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18" fillId="0" borderId="35" xfId="0" applyFont="1" applyBorder="1" applyAlignment="1">
      <alignment horizontal="center" vertical="center"/>
    </xf>
    <xf numFmtId="9" fontId="18" fillId="0" borderId="35" xfId="0" applyNumberFormat="1" applyFont="1" applyBorder="1" applyAlignment="1">
      <alignment horizontal="center" vertical="center"/>
    </xf>
    <xf numFmtId="9" fontId="18" fillId="0" borderId="36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vertical="center"/>
    </xf>
    <xf numFmtId="0" fontId="10" fillId="0" borderId="41" xfId="0" applyFont="1" applyBorder="1" applyAlignment="1">
      <alignment horizontal="center" vertical="center"/>
    </xf>
    <xf numFmtId="9" fontId="10" fillId="0" borderId="41" xfId="0" applyNumberFormat="1" applyFont="1" applyBorder="1" applyAlignment="1">
      <alignment horizontal="center" vertical="center"/>
    </xf>
    <xf numFmtId="9" fontId="10" fillId="0" borderId="42" xfId="0" applyNumberFormat="1" applyFont="1" applyBorder="1" applyAlignment="1">
      <alignment horizontal="center" vertical="center"/>
    </xf>
    <xf numFmtId="179" fontId="16" fillId="0" borderId="4" xfId="0" applyNumberFormat="1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5" fillId="14" borderId="29" xfId="0" applyFont="1" applyFill="1" applyBorder="1" applyAlignment="1">
      <alignment horizontal="left" vertical="center" wrapText="1" indent="1"/>
    </xf>
    <xf numFmtId="0" fontId="6" fillId="0" borderId="4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 indent="1"/>
    </xf>
    <xf numFmtId="0" fontId="16" fillId="0" borderId="44" xfId="0" applyFont="1" applyBorder="1" applyAlignment="1">
      <alignment horizontal="center" vertical="center" wrapText="1"/>
    </xf>
    <xf numFmtId="0" fontId="16" fillId="15" borderId="44" xfId="0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2" fillId="2" borderId="46" xfId="0" applyFont="1" applyFill="1" applyBorder="1" applyAlignment="1">
      <alignment horizontal="center" vertical="center" textRotation="90" wrapText="1"/>
    </xf>
    <xf numFmtId="0" fontId="23" fillId="3" borderId="46" xfId="0" applyFont="1" applyFill="1" applyBorder="1" applyAlignment="1">
      <alignment horizontal="center" vertical="center" textRotation="90" wrapText="1"/>
    </xf>
    <xf numFmtId="0" fontId="23" fillId="4" borderId="46" xfId="0" applyFont="1" applyFill="1" applyBorder="1" applyAlignment="1">
      <alignment horizontal="center" vertical="center" textRotation="90" wrapText="1"/>
    </xf>
    <xf numFmtId="0" fontId="23" fillId="5" borderId="46" xfId="0" applyFont="1" applyFill="1" applyBorder="1" applyAlignment="1">
      <alignment horizontal="center" vertical="center" textRotation="90" wrapText="1"/>
    </xf>
    <xf numFmtId="0" fontId="23" fillId="4" borderId="7" xfId="0" applyFont="1" applyFill="1" applyBorder="1" applyAlignment="1">
      <alignment horizontal="center" vertical="center" textRotation="90" wrapText="1"/>
    </xf>
    <xf numFmtId="0" fontId="23" fillId="4" borderId="8" xfId="0" applyFont="1" applyFill="1" applyBorder="1" applyAlignment="1">
      <alignment horizontal="center" vertical="center" textRotation="90" wrapText="1"/>
    </xf>
    <xf numFmtId="0" fontId="23" fillId="4" borderId="9" xfId="0" applyFont="1" applyFill="1" applyBorder="1" applyAlignment="1">
      <alignment horizontal="center" vertical="center" textRotation="90" wrapText="1"/>
    </xf>
    <xf numFmtId="0" fontId="23" fillId="6" borderId="46" xfId="0" applyFont="1" applyFill="1" applyBorder="1" applyAlignment="1">
      <alignment horizontal="center" vertical="center" textRotation="90" wrapText="1"/>
    </xf>
    <xf numFmtId="0" fontId="23" fillId="7" borderId="46" xfId="0" applyFont="1" applyFill="1" applyBorder="1" applyAlignment="1">
      <alignment horizontal="center" vertical="center" textRotation="90" wrapText="1"/>
    </xf>
    <xf numFmtId="0" fontId="23" fillId="8" borderId="46" xfId="0" applyFont="1" applyFill="1" applyBorder="1" applyAlignment="1">
      <alignment horizontal="center" vertical="center" textRotation="90" wrapText="1"/>
    </xf>
    <xf numFmtId="0" fontId="22" fillId="16" borderId="46" xfId="0" applyFont="1" applyFill="1" applyBorder="1" applyAlignment="1">
      <alignment horizontal="center" vertical="center" textRotation="90" wrapText="1"/>
    </xf>
    <xf numFmtId="0" fontId="24" fillId="4" borderId="46" xfId="0" applyFont="1" applyFill="1" applyBorder="1" applyAlignment="1">
      <alignment horizontal="center" vertical="center" textRotation="90" wrapText="1"/>
    </xf>
    <xf numFmtId="0" fontId="23" fillId="0" borderId="46" xfId="0" applyFont="1" applyBorder="1" applyAlignment="1">
      <alignment horizontal="center" vertical="center" textRotation="90" wrapText="1"/>
    </xf>
    <xf numFmtId="0" fontId="25" fillId="7" borderId="46" xfId="0" applyFont="1" applyFill="1" applyBorder="1" applyAlignment="1">
      <alignment horizontal="center" vertical="center"/>
    </xf>
    <xf numFmtId="0" fontId="25" fillId="7" borderId="46" xfId="0" applyFont="1" applyFill="1" applyBorder="1" applyAlignment="1">
      <alignment horizontal="center" vertical="center" wrapText="1"/>
    </xf>
    <xf numFmtId="0" fontId="25" fillId="9" borderId="46" xfId="0" applyFont="1" applyFill="1" applyBorder="1" applyAlignment="1">
      <alignment horizontal="center" wrapText="1"/>
    </xf>
    <xf numFmtId="0" fontId="25" fillId="7" borderId="46" xfId="0" applyFont="1" applyFill="1" applyBorder="1" applyAlignment="1">
      <alignment horizontal="center" wrapText="1"/>
    </xf>
    <xf numFmtId="0" fontId="26" fillId="0" borderId="46" xfId="0" applyFont="1" applyBorder="1" applyAlignment="1">
      <alignment horizontal="center" vertical="center" wrapText="1" readingOrder="1"/>
    </xf>
    <xf numFmtId="0" fontId="27" fillId="3" borderId="46" xfId="0" applyFont="1" applyFill="1" applyBorder="1" applyAlignment="1">
      <alignment horizontal="center" vertical="center" textRotation="90" wrapText="1"/>
    </xf>
    <xf numFmtId="0" fontId="27" fillId="4" borderId="46" xfId="0" applyFont="1" applyFill="1" applyBorder="1" applyAlignment="1">
      <alignment horizontal="center" vertical="center" textRotation="90" wrapText="1"/>
    </xf>
    <xf numFmtId="0" fontId="27" fillId="5" borderId="46" xfId="0" applyFont="1" applyFill="1" applyBorder="1" applyAlignment="1">
      <alignment horizontal="center" vertical="center" textRotation="90" wrapText="1"/>
    </xf>
    <xf numFmtId="0" fontId="27" fillId="6" borderId="46" xfId="0" applyFont="1" applyFill="1" applyBorder="1" applyAlignment="1">
      <alignment horizontal="center" vertical="center" textRotation="90" wrapText="1"/>
    </xf>
    <xf numFmtId="0" fontId="27" fillId="7" borderId="46" xfId="0" applyFont="1" applyFill="1" applyBorder="1" applyAlignment="1">
      <alignment horizontal="center" vertical="center" textRotation="90" wrapText="1"/>
    </xf>
    <xf numFmtId="0" fontId="28" fillId="2" borderId="46" xfId="0" applyFont="1" applyFill="1" applyBorder="1" applyAlignment="1">
      <alignment horizontal="center" vertical="center" textRotation="90" wrapText="1"/>
    </xf>
    <xf numFmtId="0" fontId="22" fillId="2" borderId="46" xfId="0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center" textRotation="90"/>
    </xf>
    <xf numFmtId="0" fontId="29" fillId="2" borderId="46" xfId="0" applyFont="1" applyFill="1" applyBorder="1" applyAlignment="1">
      <alignment horizontal="center" vertical="center" textRotation="90"/>
    </xf>
    <xf numFmtId="0" fontId="29" fillId="2" borderId="46" xfId="0" applyFont="1" applyFill="1" applyBorder="1" applyAlignment="1">
      <alignment horizontal="center" vertical="center" textRotation="90" wrapText="1"/>
    </xf>
    <xf numFmtId="0" fontId="30" fillId="0" borderId="46" xfId="0" applyFont="1" applyBorder="1" applyAlignment="1">
      <alignment horizontal="center" vertical="center" wrapText="1" readingOrder="1"/>
    </xf>
    <xf numFmtId="0" fontId="21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46" xfId="0" applyFont="1" applyBorder="1"/>
    <xf numFmtId="0" fontId="21" fillId="0" borderId="46" xfId="0" applyFont="1" applyBorder="1"/>
    <xf numFmtId="0" fontId="33" fillId="0" borderId="46" xfId="0" applyFont="1" applyBorder="1" applyAlignment="1">
      <alignment horizontal="center"/>
    </xf>
    <xf numFmtId="0" fontId="34" fillId="0" borderId="0" xfId="0" applyFont="1"/>
    <xf numFmtId="0" fontId="35" fillId="13" borderId="0" xfId="0" applyFont="1" applyFill="1"/>
    <xf numFmtId="0" fontId="36" fillId="13" borderId="0" xfId="0" applyFont="1" applyFill="1"/>
    <xf numFmtId="0" fontId="37" fillId="13" borderId="0" xfId="0" applyFont="1" applyFill="1"/>
    <xf numFmtId="0" fontId="0" fillId="13" borderId="0" xfId="0" applyFill="1"/>
    <xf numFmtId="0" fontId="38" fillId="7" borderId="7" xfId="0" applyFont="1" applyFill="1" applyBorder="1" applyAlignment="1">
      <alignment horizontal="left" vertical="center"/>
    </xf>
    <xf numFmtId="0" fontId="38" fillId="7" borderId="8" xfId="0" applyFont="1" applyFill="1" applyBorder="1" applyAlignment="1">
      <alignment horizontal="left" vertical="center"/>
    </xf>
    <xf numFmtId="0" fontId="38" fillId="7" borderId="9" xfId="0" applyFont="1" applyFill="1" applyBorder="1" applyAlignment="1">
      <alignment horizontal="left" vertical="center"/>
    </xf>
    <xf numFmtId="0" fontId="39" fillId="7" borderId="48" xfId="0" applyFont="1" applyFill="1" applyBorder="1" applyAlignment="1">
      <alignment horizontal="center" vertical="center"/>
    </xf>
    <xf numFmtId="0" fontId="39" fillId="7" borderId="49" xfId="0" applyFont="1" applyFill="1" applyBorder="1" applyAlignment="1">
      <alignment horizontal="center" vertical="center"/>
    </xf>
    <xf numFmtId="0" fontId="40" fillId="7" borderId="7" xfId="0" applyFont="1" applyFill="1" applyBorder="1"/>
    <xf numFmtId="0" fontId="40" fillId="7" borderId="8" xfId="0" applyFont="1" applyFill="1" applyBorder="1"/>
    <xf numFmtId="0" fontId="36" fillId="7" borderId="50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36" fillId="7" borderId="9" xfId="0" applyFont="1" applyFill="1" applyBorder="1" applyAlignment="1">
      <alignment horizontal="center" vertical="center"/>
    </xf>
    <xf numFmtId="0" fontId="41" fillId="9" borderId="10" xfId="0" applyFont="1" applyFill="1" applyBorder="1" applyAlignment="1">
      <alignment horizontal="center" vertical="center" wrapText="1"/>
    </xf>
    <xf numFmtId="0" fontId="41" fillId="9" borderId="11" xfId="0" applyFont="1" applyFill="1" applyBorder="1" applyAlignment="1">
      <alignment horizontal="center" vertical="center" wrapText="1"/>
    </xf>
    <xf numFmtId="0" fontId="42" fillId="7" borderId="10" xfId="0" applyFont="1" applyFill="1" applyBorder="1" applyAlignment="1">
      <alignment horizontal="center" vertical="center" wrapText="1"/>
    </xf>
    <xf numFmtId="0" fontId="42" fillId="7" borderId="12" xfId="0" applyFont="1" applyFill="1" applyBorder="1" applyAlignment="1">
      <alignment horizontal="center" vertical="center" wrapText="1"/>
    </xf>
    <xf numFmtId="0" fontId="42" fillId="7" borderId="11" xfId="0" applyFont="1" applyFill="1" applyBorder="1" applyAlignment="1">
      <alignment horizontal="center" vertical="center" wrapText="1"/>
    </xf>
    <xf numFmtId="0" fontId="42" fillId="9" borderId="7" xfId="0" applyFont="1" applyFill="1" applyBorder="1" applyAlignment="1">
      <alignment horizontal="center" vertical="center" wrapText="1"/>
    </xf>
    <xf numFmtId="0" fontId="42" fillId="9" borderId="8" xfId="0" applyFont="1" applyFill="1" applyBorder="1" applyAlignment="1">
      <alignment horizontal="center" vertical="center" wrapText="1"/>
    </xf>
    <xf numFmtId="0" fontId="40" fillId="7" borderId="9" xfId="0" applyFont="1" applyFill="1" applyBorder="1"/>
    <xf numFmtId="0" fontId="39" fillId="17" borderId="15" xfId="0" applyFont="1" applyFill="1" applyBorder="1" applyAlignment="1">
      <alignment horizontal="left" vertical="center" wrapText="1"/>
    </xf>
    <xf numFmtId="0" fontId="10" fillId="18" borderId="16" xfId="0" applyFont="1" applyFill="1" applyBorder="1" applyAlignment="1">
      <alignment horizontal="center" vertical="center" wrapText="1"/>
    </xf>
    <xf numFmtId="0" fontId="10" fillId="18" borderId="51" xfId="0" applyFont="1" applyFill="1" applyBorder="1" applyAlignment="1">
      <alignment horizontal="center" vertical="center" wrapText="1"/>
    </xf>
    <xf numFmtId="0" fontId="10" fillId="18" borderId="52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10" fillId="18" borderId="53" xfId="0" applyFont="1" applyFill="1" applyBorder="1" applyAlignment="1">
      <alignment horizontal="center" vertical="center" wrapText="1"/>
    </xf>
    <xf numFmtId="0" fontId="10" fillId="18" borderId="54" xfId="0" applyFont="1" applyFill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44" fillId="2" borderId="57" xfId="0" applyFont="1" applyFill="1" applyBorder="1" applyAlignment="1">
      <alignment horizontal="center" vertical="center"/>
    </xf>
    <xf numFmtId="0" fontId="44" fillId="2" borderId="52" xfId="0" applyFont="1" applyFill="1" applyBorder="1" applyAlignment="1">
      <alignment horizontal="center" vertical="center"/>
    </xf>
    <xf numFmtId="0" fontId="44" fillId="2" borderId="53" xfId="0" applyFont="1" applyFill="1" applyBorder="1" applyAlignment="1">
      <alignment horizontal="center" vertical="center"/>
    </xf>
    <xf numFmtId="0" fontId="44" fillId="2" borderId="51" xfId="0" applyFont="1" applyFill="1" applyBorder="1" applyAlignment="1">
      <alignment horizontal="center" vertical="center"/>
    </xf>
    <xf numFmtId="0" fontId="44" fillId="2" borderId="16" xfId="0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4" fillId="2" borderId="11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textRotation="90" wrapText="1"/>
    </xf>
    <xf numFmtId="0" fontId="5" fillId="2" borderId="19" xfId="0" applyFont="1" applyFill="1" applyBorder="1" applyAlignment="1">
      <alignment horizontal="center" vertical="center" textRotation="90" wrapText="1"/>
    </xf>
    <xf numFmtId="0" fontId="4" fillId="2" borderId="20" xfId="0" applyFont="1" applyFill="1" applyBorder="1" applyAlignment="1">
      <alignment horizontal="center" vertical="center" textRotation="90" wrapText="1"/>
    </xf>
    <xf numFmtId="0" fontId="39" fillId="17" borderId="60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center" vertical="center" wrapText="1"/>
    </xf>
    <xf numFmtId="0" fontId="15" fillId="19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21" xfId="0" applyFont="1" applyFill="1" applyBorder="1" applyAlignment="1">
      <alignment horizontal="center" vertical="center" wrapText="1"/>
    </xf>
    <xf numFmtId="0" fontId="43" fillId="2" borderId="61" xfId="0" applyFont="1" applyFill="1" applyBorder="1" applyAlignment="1">
      <alignment horizontal="center" vertical="center" wrapText="1"/>
    </xf>
    <xf numFmtId="0" fontId="46" fillId="2" borderId="62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46" fillId="2" borderId="18" xfId="0" applyFont="1" applyFill="1" applyBorder="1" applyAlignment="1">
      <alignment horizontal="center" vertical="center"/>
    </xf>
    <xf numFmtId="0" fontId="46" fillId="2" borderId="17" xfId="0" applyFont="1" applyFill="1" applyBorder="1" applyAlignment="1">
      <alignment horizontal="center" vertical="center"/>
    </xf>
    <xf numFmtId="0" fontId="46" fillId="2" borderId="21" xfId="0" applyFont="1" applyFill="1" applyBorder="1" applyAlignment="1">
      <alignment horizontal="center" vertical="center"/>
    </xf>
    <xf numFmtId="0" fontId="46" fillId="2" borderId="21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textRotation="90" wrapText="1"/>
    </xf>
    <xf numFmtId="0" fontId="10" fillId="17" borderId="66" xfId="0" applyFont="1" applyFill="1" applyBorder="1" applyAlignment="1">
      <alignment horizontal="left" vertical="center" wrapText="1"/>
    </xf>
    <xf numFmtId="0" fontId="47" fillId="18" borderId="4" xfId="0" applyFont="1" applyFill="1" applyBorder="1" applyAlignment="1">
      <alignment horizontal="center" vertical="center" wrapText="1"/>
    </xf>
    <xf numFmtId="0" fontId="10" fillId="20" borderId="46" xfId="0" applyFont="1" applyFill="1" applyBorder="1" applyAlignment="1">
      <alignment horizontal="left" vertical="center" wrapText="1"/>
    </xf>
    <xf numFmtId="0" fontId="39" fillId="17" borderId="67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9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0" fillId="0" borderId="68" xfId="0" applyFont="1" applyBorder="1" applyAlignment="1">
      <alignment horizontal="left" vertical="center"/>
    </xf>
    <xf numFmtId="0" fontId="51" fillId="0" borderId="69" xfId="0" applyFont="1" applyBorder="1" applyAlignment="1">
      <alignment horizontal="left" vertical="center"/>
    </xf>
    <xf numFmtId="0" fontId="52" fillId="0" borderId="69" xfId="0" applyFont="1" applyBorder="1" applyAlignment="1">
      <alignment horizontal="left" vertical="center"/>
    </xf>
    <xf numFmtId="0" fontId="52" fillId="0" borderId="70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2" fontId="0" fillId="0" borderId="0" xfId="0" applyNumberFormat="1"/>
    <xf numFmtId="0" fontId="53" fillId="0" borderId="71" xfId="0" applyFont="1" applyBorder="1" applyAlignment="1">
      <alignment horizontal="left" vertical="center"/>
    </xf>
    <xf numFmtId="0" fontId="54" fillId="0" borderId="0" xfId="0" applyFont="1"/>
    <xf numFmtId="0" fontId="53" fillId="0" borderId="0" xfId="0" applyFont="1" applyAlignment="1">
      <alignment horizontal="left" vertical="center"/>
    </xf>
    <xf numFmtId="0" fontId="55" fillId="0" borderId="0" xfId="54"/>
    <xf numFmtId="0" fontId="49" fillId="0" borderId="72" xfId="0" applyFont="1" applyBorder="1"/>
    <xf numFmtId="0" fontId="42" fillId="0" borderId="0" xfId="0" applyFont="1" applyAlignment="1">
      <alignment horizontal="center" vertical="center" wrapText="1"/>
    </xf>
    <xf numFmtId="0" fontId="53" fillId="0" borderId="73" xfId="0" applyFont="1" applyBorder="1" applyAlignment="1">
      <alignment horizontal="left" vertical="center"/>
    </xf>
    <xf numFmtId="0" fontId="54" fillId="0" borderId="74" xfId="0" applyFont="1" applyBorder="1"/>
    <xf numFmtId="0" fontId="53" fillId="0" borderId="74" xfId="0" applyFont="1" applyBorder="1" applyAlignment="1">
      <alignment horizontal="left" vertical="center"/>
    </xf>
    <xf numFmtId="0" fontId="55" fillId="0" borderId="74" xfId="54" applyBorder="1"/>
    <xf numFmtId="0" fontId="49" fillId="0" borderId="74" xfId="0" applyFont="1" applyBorder="1"/>
    <xf numFmtId="0" fontId="52" fillId="0" borderId="74" xfId="0" applyFont="1" applyBorder="1" applyAlignment="1">
      <alignment horizontal="left" vertical="center"/>
    </xf>
    <xf numFmtId="0" fontId="49" fillId="0" borderId="75" xfId="0" applyFont="1" applyBorder="1"/>
    <xf numFmtId="0" fontId="54" fillId="0" borderId="0" xfId="0" applyFont="1" applyAlignment="1">
      <alignment horizontal="center" vertical="center" wrapText="1"/>
    </xf>
    <xf numFmtId="0" fontId="56" fillId="0" borderId="0" xfId="54" applyFont="1"/>
    <xf numFmtId="0" fontId="39" fillId="0" borderId="0" xfId="54" applyFont="1"/>
    <xf numFmtId="0" fontId="37" fillId="0" borderId="0" xfId="0" applyFont="1"/>
    <xf numFmtId="10" fontId="0" fillId="0" borderId="0" xfId="3" applyNumberFormat="1" applyFont="1"/>
    <xf numFmtId="9" fontId="0" fillId="0" borderId="0" xfId="3" applyFont="1"/>
    <xf numFmtId="0" fontId="42" fillId="0" borderId="0" xfId="0" applyFont="1" applyAlignment="1">
      <alignment horizontal="left" indent="1"/>
    </xf>
    <xf numFmtId="0" fontId="42" fillId="0" borderId="0" xfId="0" applyFont="1"/>
    <xf numFmtId="0" fontId="57" fillId="0" borderId="0" xfId="0" applyFont="1" applyAlignment="1">
      <alignment horizontal="left" indent="1"/>
    </xf>
    <xf numFmtId="0" fontId="42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3" applyFont="1" applyAlignment="1">
      <alignment wrapText="1"/>
    </xf>
    <xf numFmtId="10" fontId="0" fillId="0" borderId="0" xfId="3" applyNumberFormat="1" applyFont="1" applyAlignment="1">
      <alignment wrapText="1"/>
    </xf>
    <xf numFmtId="2" fontId="0" fillId="0" borderId="0" xfId="0" applyNumberFormat="1" applyAlignment="1">
      <alignment horizontal="center" wrapText="1"/>
    </xf>
    <xf numFmtId="0" fontId="43" fillId="2" borderId="12" xfId="0" applyFont="1" applyFill="1" applyBorder="1" applyAlignment="1" quotePrefix="1">
      <alignment horizontal="center" vertical="center" wrapText="1"/>
    </xf>
    <xf numFmtId="0" fontId="45" fillId="2" borderId="4" xfId="0" applyFont="1" applyFill="1" applyBorder="1" applyAlignment="1" quotePrefix="1">
      <alignment horizontal="center" vertical="center" wrapText="1"/>
    </xf>
    <xf numFmtId="0" fontId="5" fillId="2" borderId="19" xfId="0" applyFont="1" applyFill="1" applyBorder="1" applyAlignment="1" quotePrefix="1">
      <alignment horizontal="center" vertical="center" textRotation="90" wrapText="1"/>
    </xf>
    <xf numFmtId="0" fontId="23" fillId="8" borderId="46" xfId="0" applyFont="1" applyFill="1" applyBorder="1" applyAlignment="1" quotePrefix="1">
      <alignment horizontal="center" vertical="center" textRotation="90" wrapText="1"/>
    </xf>
    <xf numFmtId="0" fontId="23" fillId="3" borderId="46" xfId="0" applyFont="1" applyFill="1" applyBorder="1" applyAlignment="1" quotePrefix="1">
      <alignment horizontal="center" vertical="center" textRotation="90" wrapText="1"/>
    </xf>
    <xf numFmtId="0" fontId="23" fillId="4" borderId="46" xfId="0" applyFont="1" applyFill="1" applyBorder="1" applyAlignment="1" quotePrefix="1">
      <alignment horizontal="center" vertical="center" textRotation="90" wrapText="1"/>
    </xf>
    <xf numFmtId="0" fontId="22" fillId="16" borderId="46" xfId="0" applyFont="1" applyFill="1" applyBorder="1" applyAlignment="1" quotePrefix="1">
      <alignment horizontal="center" vertical="center" textRotation="90" wrapText="1"/>
    </xf>
    <xf numFmtId="0" fontId="27" fillId="3" borderId="46" xfId="0" applyFont="1" applyFill="1" applyBorder="1" applyAlignment="1" quotePrefix="1">
      <alignment horizontal="center" vertical="center" textRotation="90" wrapText="1"/>
    </xf>
    <xf numFmtId="0" fontId="27" fillId="4" borderId="46" xfId="0" applyFont="1" applyFill="1" applyBorder="1" applyAlignment="1" quotePrefix="1">
      <alignment horizontal="center" vertical="center" textRotation="90" wrapText="1"/>
    </xf>
    <xf numFmtId="0" fontId="27" fillId="5" borderId="46" xfId="0" applyFont="1" applyFill="1" applyBorder="1" applyAlignment="1" quotePrefix="1">
      <alignment horizontal="center" vertical="center" textRotation="90" wrapText="1"/>
    </xf>
    <xf numFmtId="0" fontId="27" fillId="6" borderId="46" xfId="0" applyFont="1" applyFill="1" applyBorder="1" applyAlignment="1" quotePrefix="1">
      <alignment horizontal="center" vertical="center" textRotation="90" wrapText="1"/>
    </xf>
    <xf numFmtId="0" fontId="27" fillId="7" borderId="46" xfId="0" applyFont="1" applyFill="1" applyBorder="1" applyAlignment="1" quotePrefix="1">
      <alignment horizontal="center" vertical="center" textRotation="90" wrapText="1"/>
    </xf>
    <xf numFmtId="0" fontId="28" fillId="2" borderId="46" xfId="0" applyFont="1" applyFill="1" applyBorder="1" applyAlignment="1" quotePrefix="1">
      <alignment horizontal="center" vertical="center" textRotation="90" wrapText="1"/>
    </xf>
    <xf numFmtId="0" fontId="4" fillId="3" borderId="2" xfId="0" applyFont="1" applyFill="1" applyBorder="1" applyAlignment="1" quotePrefix="1">
      <alignment horizontal="center" vertical="center" wrapText="1"/>
    </xf>
    <xf numFmtId="0" fontId="4" fillId="4" borderId="2" xfId="0" applyFont="1" applyFill="1" applyBorder="1" applyAlignment="1" quotePrefix="1">
      <alignment horizontal="center" vertical="center" wrapText="1"/>
    </xf>
    <xf numFmtId="0" fontId="4" fillId="8" borderId="2" xfId="0" applyFont="1" applyFill="1" applyBorder="1" applyAlignment="1" quotePrefix="1">
      <alignment horizontal="center" vertical="center" wrapText="1"/>
    </xf>
    <xf numFmtId="0" fontId="8" fillId="3" borderId="4" xfId="0" applyFont="1" applyFill="1" applyBorder="1" applyAlignment="1" quotePrefix="1">
      <alignment horizontal="center" vertical="center"/>
    </xf>
    <xf numFmtId="0" fontId="8" fillId="4" borderId="4" xfId="0" applyFont="1" applyFill="1" applyBorder="1" applyAlignment="1" quotePrefix="1">
      <alignment horizontal="center" vertical="center"/>
    </xf>
    <xf numFmtId="0" fontId="8" fillId="5" borderId="4" xfId="0" applyFont="1" applyFill="1" applyBorder="1" applyAlignment="1" quotePrefix="1">
      <alignment horizontal="center" vertical="center"/>
    </xf>
    <xf numFmtId="0" fontId="8" fillId="6" borderId="4" xfId="0" applyFont="1" applyFill="1" applyBorder="1" applyAlignment="1" quotePrefix="1">
      <alignment horizontal="center" vertical="center"/>
    </xf>
    <xf numFmtId="0" fontId="8" fillId="7" borderId="4" xfId="0" applyFont="1" applyFill="1" applyBorder="1" applyAlignment="1" quotePrefix="1">
      <alignment horizontal="center" vertical="center"/>
    </xf>
    <xf numFmtId="0" fontId="5" fillId="2" borderId="12" xfId="0" applyFont="1" applyFill="1" applyBorder="1" applyAlignment="1" quotePrefix="1">
      <alignment horizontal="center" vertical="center"/>
    </xf>
    <xf numFmtId="0" fontId="5" fillId="2" borderId="14" xfId="0" applyFont="1" applyFill="1" applyBorder="1" applyAlignment="1" quotePrefix="1">
      <alignment horizontal="center" vertical="center"/>
    </xf>
    <xf numFmtId="0" fontId="5" fillId="2" borderId="17" xfId="0" applyFont="1" applyFill="1" applyBorder="1" applyAlignment="1" quotePrefix="1">
      <alignment horizontal="center" vertical="center" wrapText="1"/>
    </xf>
    <xf numFmtId="0" fontId="5" fillId="2" borderId="1" xfId="0" applyFont="1" applyFill="1" applyBorder="1" applyAlignment="1" quotePrefix="1">
      <alignment horizontal="center" vertical="center" wrapText="1"/>
    </xf>
    <xf numFmtId="0" fontId="5" fillId="2" borderId="19" xfId="0" applyFont="1" applyFill="1" applyBorder="1" applyAlignment="1" quotePrefix="1">
      <alignment horizontal="center" vertical="center"/>
    </xf>
    <xf numFmtId="0" fontId="8" fillId="4" borderId="4" xfId="0" applyFont="1" applyFill="1" applyBorder="1" applyAlignment="1" quotePrefix="1">
      <alignment horizontal="center" vertical="center" wrapText="1"/>
    </xf>
  </cellXfs>
  <cellStyles count="55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Milliers 2" xfId="49"/>
    <cellStyle name="Milliers 2 2" xfId="50"/>
    <cellStyle name="Milliers 2 3" xfId="51"/>
    <cellStyle name="Normal 2" xfId="52"/>
    <cellStyle name="Normal 2 2" xfId="53"/>
    <cellStyle name="Normal 6 2" xfId="54"/>
  </cellStyles>
  <dxfs count="3"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b val="1"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ISSE-ZINIARE\TLOH\TLOH%202023\TLOH%20ANDEM%20SYNTHE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ISSE%20BSK\SURVEILLANCE\TLOH\2025\TLOH_ANALYS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LOH ANDEM"/>
      <sheetName val="TLOH ANDEM SYNTHESE"/>
    </sheetNames>
    <definedNames>
      <definedName name="xdata1" refersTo="=#REF!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LOH_CUMUL_2024"/>
      <sheetName val="TLOH_S1_2024"/>
      <sheetName val="TLOH_T3_2024"/>
      <sheetName val="TLOH_S1_S49_2024"/>
      <sheetName val="GRATUITE_HEDO"/>
      <sheetName val="SYNTH TLOH 2024"/>
      <sheetName val="SYNTHESE_NUTRITION"/>
      <sheetName val="MCS_PFA"/>
      <sheetName val="GRAPH"/>
      <sheetName val="GRAPH COMPARE"/>
      <sheetName val="CAHIER TLOH"/>
      <sheetName val="BaseDonnees"/>
      <sheetName val="SuiviSeuilsEpiPaludisme"/>
      <sheetName val="BaseDonnees &lt;5ans"/>
      <sheetName val="SuiviSeuilsEpiPaludisme &lt;5ans"/>
      <sheetName val="COMPLETUDE"/>
      <sheetName val="COMPLETUDE ORDRE"/>
      <sheetName val="BASKUY"/>
      <sheetName val="BASKUY 2021"/>
      <sheetName val="BASKUY 2022"/>
      <sheetName val="BASKUY 2023"/>
      <sheetName val="BASKUY 2024"/>
      <sheetName val="IMPRIME TLOH"/>
      <sheetName val="COMPLETUDE (3)"/>
      <sheetName val="PALU PAR FS"/>
      <sheetName val="COMPLETUDE REQUETE"/>
      <sheetName val="COMPLETUDE REQUETE S1"/>
    </sheetNames>
    <sheetDataSet>
      <sheetData sheetId="0"/>
      <sheetData sheetId="1"/>
      <sheetData sheetId="2"/>
      <sheetData sheetId="3"/>
      <sheetData sheetId="4">
        <row r="60">
          <cell r="A60" t="str">
            <v>S53</v>
          </cell>
          <cell r="B60">
            <v>931</v>
          </cell>
          <cell r="C60">
            <v>45</v>
          </cell>
          <cell r="D60">
            <v>266</v>
          </cell>
          <cell r="E60">
            <v>1</v>
          </cell>
          <cell r="F60">
            <v>302</v>
          </cell>
          <cell r="G60">
            <v>74</v>
          </cell>
          <cell r="H60">
            <v>60</v>
          </cell>
          <cell r="I60">
            <v>18</v>
          </cell>
          <cell r="J60">
            <v>8</v>
          </cell>
          <cell r="K60">
            <v>6</v>
          </cell>
          <cell r="L60">
            <v>4</v>
          </cell>
          <cell r="M60">
            <v>33723</v>
          </cell>
        </row>
      </sheetData>
      <sheetData sheetId="5">
        <row r="55">
          <cell r="A55" t="str">
            <v>S53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791</v>
          </cell>
          <cell r="V55">
            <v>243</v>
          </cell>
          <cell r="W55">
            <v>51</v>
          </cell>
          <cell r="X55">
            <v>3</v>
          </cell>
          <cell r="Y55">
            <v>0</v>
          </cell>
          <cell r="Z55">
            <v>0</v>
          </cell>
          <cell r="AA55">
            <v>19</v>
          </cell>
          <cell r="AB55">
            <v>7</v>
          </cell>
          <cell r="AC55">
            <v>1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12</v>
          </cell>
          <cell r="BA55">
            <v>12</v>
          </cell>
          <cell r="BB55">
            <v>12</v>
          </cell>
          <cell r="BC55">
            <v>74</v>
          </cell>
          <cell r="BD55">
            <v>58</v>
          </cell>
          <cell r="BE55">
            <v>58</v>
          </cell>
          <cell r="BF55">
            <v>4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19</v>
          </cell>
          <cell r="CI55">
            <v>19</v>
          </cell>
          <cell r="CJ55">
            <v>7</v>
          </cell>
          <cell r="CK55">
            <v>12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39</v>
          </cell>
          <cell r="CU55">
            <v>4099</v>
          </cell>
        </row>
        <row r="56">
          <cell r="B56">
            <v>0</v>
          </cell>
          <cell r="C56">
            <v>0</v>
          </cell>
        </row>
        <row r="56">
          <cell r="E56">
            <v>0</v>
          </cell>
        </row>
        <row r="56">
          <cell r="G56">
            <v>0</v>
          </cell>
          <cell r="H56">
            <v>0</v>
          </cell>
          <cell r="I56">
            <v>0</v>
          </cell>
        </row>
        <row r="56">
          <cell r="K56">
            <v>0</v>
          </cell>
        </row>
        <row r="56"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6">
          <cell r="T56">
            <v>0</v>
          </cell>
        </row>
        <row r="56">
          <cell r="Y56">
            <v>0</v>
          </cell>
          <cell r="Z56">
            <v>0</v>
          </cell>
        </row>
        <row r="56"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</row>
        <row r="56"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"/>
  <dimension ref="A1:CZ122"/>
  <sheetViews>
    <sheetView zoomScale="70" zoomScaleNormal="70" zoomScaleSheetLayoutView="90" showWhiteSpace="0" workbookViewId="0">
      <pane xSplit="1" ySplit="4" topLeftCell="AM29" activePane="bottomRight" state="frozen"/>
      <selection/>
      <selection pane="topRight"/>
      <selection pane="bottomLeft"/>
      <selection pane="bottomRight" activeCell="BC5" sqref="BC5:BE53"/>
    </sheetView>
  </sheetViews>
  <sheetFormatPr defaultColWidth="11" defaultRowHeight="15"/>
  <cols>
    <col min="1" max="1" width="11" customWidth="1"/>
    <col min="2" max="6" width="8.28571428571429" customWidth="1"/>
    <col min="7" max="7" width="9.28571428571429" customWidth="1"/>
    <col min="8" max="11" width="8.28571428571429" customWidth="1"/>
    <col min="12" max="17" width="9.28571428571429" customWidth="1"/>
    <col min="18" max="18" width="11.8571428571429" customWidth="1"/>
    <col min="19" max="26" width="9.28571428571429" customWidth="1"/>
    <col min="27" max="27" width="10.1428571428571" customWidth="1"/>
    <col min="28" max="28" width="11.1428571428571" customWidth="1"/>
    <col min="29" max="29" width="11.2857142857143" customWidth="1"/>
    <col min="30" max="30" width="9.28571428571429" customWidth="1"/>
    <col min="31" max="31" width="10.8571428571429" customWidth="1"/>
    <col min="32" max="41" width="9.28571428571429" customWidth="1"/>
    <col min="42" max="42" width="12" customWidth="1"/>
    <col min="43" max="43" width="12.2857142857143" customWidth="1"/>
    <col min="44" max="51" width="11.1428571428571" customWidth="1"/>
    <col min="59" max="59" width="12.2857142857143" customWidth="1"/>
    <col min="60" max="60" width="10" customWidth="1"/>
    <col min="61" max="86" width="5.85714285714286" customWidth="1"/>
    <col min="87" max="87" width="8.14285714285714" customWidth="1"/>
    <col min="88" max="88" width="7.85714285714286" customWidth="1"/>
    <col min="89" max="90" width="7.71428571428571" customWidth="1"/>
    <col min="91" max="92" width="13.7142857142857" customWidth="1"/>
    <col min="93" max="93" width="10.1428571428571" customWidth="1"/>
    <col min="94" max="94" width="11.2857142857143" customWidth="1"/>
    <col min="95" max="95" width="9.85714285714286" customWidth="1"/>
    <col min="96" max="96" width="13.5714285714286" customWidth="1"/>
    <col min="97" max="97" width="13.8571428571429" customWidth="1"/>
    <col min="98" max="99" width="11.4285714285714" customWidth="1"/>
    <col min="100" max="100" width="14" customWidth="1"/>
    <col min="101" max="101" width="9.71428571428571" customWidth="1"/>
    <col min="102" max="104" width="11.4285714285714" hidden="1" customWidth="1"/>
    <col min="105" max="105" width="11.4285714285714" customWidth="1"/>
  </cols>
  <sheetData>
    <row r="1" ht="21" spans="1:104">
      <c r="A1" s="171" t="s">
        <v>0</v>
      </c>
      <c r="B1" s="172"/>
      <c r="C1" s="172"/>
      <c r="D1" s="172"/>
      <c r="E1" s="172"/>
      <c r="F1" s="172"/>
      <c r="G1" s="172"/>
      <c r="H1" s="173"/>
      <c r="I1" s="173"/>
      <c r="J1" s="173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174"/>
      <c r="CJ1" s="174"/>
      <c r="CK1" s="174"/>
      <c r="CL1" s="174"/>
      <c r="CM1" s="174"/>
      <c r="CN1" s="174"/>
      <c r="CO1" s="174"/>
      <c r="CP1" s="174"/>
      <c r="CQ1" s="174"/>
      <c r="CR1" s="174"/>
      <c r="CS1" s="174"/>
      <c r="CT1" s="174"/>
      <c r="CU1" s="174"/>
      <c r="CV1" s="174"/>
      <c r="CX1" s="174"/>
      <c r="CY1" s="174"/>
      <c r="CZ1" s="174"/>
    </row>
    <row r="2" ht="36" customHeight="1" spans="1:104">
      <c r="A2" s="175" t="s">
        <v>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7"/>
      <c r="BF2" s="178"/>
      <c r="BG2" s="179"/>
      <c r="BH2" s="180" t="s">
        <v>2</v>
      </c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2" t="s">
        <v>3</v>
      </c>
      <c r="CJ2" s="183"/>
      <c r="CK2" s="183"/>
      <c r="CL2" s="184"/>
      <c r="CM2" s="185" t="s">
        <v>4</v>
      </c>
      <c r="CN2" s="186"/>
      <c r="CO2" s="187" t="s">
        <v>5</v>
      </c>
      <c r="CP2" s="188"/>
      <c r="CQ2" s="189"/>
      <c r="CR2" s="190" t="s">
        <v>6</v>
      </c>
      <c r="CS2" s="191"/>
      <c r="CT2" s="181"/>
      <c r="CU2" s="181"/>
      <c r="CV2" s="192"/>
      <c r="CX2" s="181"/>
      <c r="CY2" s="181"/>
      <c r="CZ2" s="181"/>
    </row>
    <row r="3" ht="31.5" customHeight="1" spans="1:104">
      <c r="A3" s="193" t="s">
        <v>7</v>
      </c>
      <c r="B3" s="194" t="s">
        <v>8</v>
      </c>
      <c r="C3" s="195"/>
      <c r="D3" s="194" t="s">
        <v>9</v>
      </c>
      <c r="E3" s="195"/>
      <c r="F3" s="194" t="s">
        <v>10</v>
      </c>
      <c r="G3" s="195"/>
      <c r="H3" s="194" t="s">
        <v>11</v>
      </c>
      <c r="I3" s="195"/>
      <c r="J3" s="194" t="s">
        <v>12</v>
      </c>
      <c r="K3" s="195"/>
      <c r="L3" s="194" t="s">
        <v>13</v>
      </c>
      <c r="M3" s="195"/>
      <c r="N3" s="194" t="s">
        <v>14</v>
      </c>
      <c r="O3" s="195"/>
      <c r="P3" s="194" t="s">
        <v>15</v>
      </c>
      <c r="Q3" s="195"/>
      <c r="R3" s="196" t="s">
        <v>16</v>
      </c>
      <c r="S3" s="194" t="s">
        <v>17</v>
      </c>
      <c r="T3" s="195"/>
      <c r="U3" s="194" t="s">
        <v>18</v>
      </c>
      <c r="V3" s="195"/>
      <c r="W3" s="194" t="s">
        <v>19</v>
      </c>
      <c r="X3" s="197"/>
      <c r="Y3" s="197"/>
      <c r="Z3" s="195"/>
      <c r="AA3" s="194" t="s">
        <v>20</v>
      </c>
      <c r="AB3" s="197"/>
      <c r="AC3" s="197"/>
      <c r="AD3" s="195"/>
      <c r="AE3" s="194" t="s">
        <v>21</v>
      </c>
      <c r="AF3" s="195"/>
      <c r="AG3" s="198" t="s">
        <v>22</v>
      </c>
      <c r="AH3" s="199"/>
      <c r="AI3" s="198" t="s">
        <v>23</v>
      </c>
      <c r="AJ3" s="199"/>
      <c r="AK3" s="194" t="s">
        <v>24</v>
      </c>
      <c r="AL3" s="197"/>
      <c r="AM3" s="195"/>
      <c r="AN3" s="194" t="s">
        <v>25</v>
      </c>
      <c r="AO3" s="195"/>
      <c r="AP3" s="194" t="s">
        <v>26</v>
      </c>
      <c r="AQ3" s="195"/>
      <c r="AR3" s="194" t="s">
        <v>27</v>
      </c>
      <c r="AS3" s="195"/>
      <c r="AT3" s="196" t="s">
        <v>28</v>
      </c>
      <c r="AU3" s="196"/>
      <c r="AV3" s="194" t="s">
        <v>29</v>
      </c>
      <c r="AW3" s="195"/>
      <c r="AX3" s="196" t="s">
        <v>30</v>
      </c>
      <c r="AY3" s="196"/>
      <c r="AZ3" s="196" t="s">
        <v>31</v>
      </c>
      <c r="BA3" s="196"/>
      <c r="BB3" s="200"/>
      <c r="BC3" s="196" t="s">
        <v>32</v>
      </c>
      <c r="BD3" s="196"/>
      <c r="BE3" s="201"/>
      <c r="BF3" s="202" t="s">
        <v>33</v>
      </c>
      <c r="BG3" s="203"/>
      <c r="BH3" s="276" t="s">
        <v>34</v>
      </c>
      <c r="BI3" s="205" t="s">
        <v>35</v>
      </c>
      <c r="BJ3" s="206"/>
      <c r="BK3" s="206"/>
      <c r="BL3" s="206"/>
      <c r="BM3" s="206"/>
      <c r="BN3" s="206"/>
      <c r="BO3" s="206"/>
      <c r="BP3" s="207"/>
      <c r="BQ3" s="208" t="s">
        <v>36</v>
      </c>
      <c r="BR3" s="206"/>
      <c r="BS3" s="206"/>
      <c r="BT3" s="206"/>
      <c r="BU3" s="206"/>
      <c r="BV3" s="206"/>
      <c r="BW3" s="206"/>
      <c r="BX3" s="209"/>
      <c r="BY3" s="205" t="s">
        <v>37</v>
      </c>
      <c r="BZ3" s="208"/>
      <c r="CA3" s="208"/>
      <c r="CB3" s="208"/>
      <c r="CC3" s="206"/>
      <c r="CD3" s="206"/>
      <c r="CE3" s="206"/>
      <c r="CF3" s="206"/>
      <c r="CG3" s="206"/>
      <c r="CH3" s="209"/>
      <c r="CI3" s="277" t="s">
        <v>38</v>
      </c>
      <c r="CJ3" s="211" t="s">
        <v>39</v>
      </c>
      <c r="CK3" s="209" t="s">
        <v>40</v>
      </c>
      <c r="CL3" s="212"/>
      <c r="CM3" s="213" t="s">
        <v>41</v>
      </c>
      <c r="CN3" s="54" t="s">
        <v>42</v>
      </c>
      <c r="CO3" s="213" t="s">
        <v>43</v>
      </c>
      <c r="CP3" s="213" t="s">
        <v>42</v>
      </c>
      <c r="CQ3" s="214" t="s">
        <v>44</v>
      </c>
      <c r="CR3" s="278" t="s">
        <v>38</v>
      </c>
      <c r="CS3" s="216" t="s">
        <v>42</v>
      </c>
      <c r="CT3" s="196" t="s">
        <v>45</v>
      </c>
      <c r="CU3" s="196"/>
      <c r="CV3" s="200"/>
      <c r="CX3" s="196" t="s">
        <v>46</v>
      </c>
      <c r="CY3" s="196"/>
      <c r="CZ3" s="201"/>
    </row>
    <row r="4" ht="38.25" customHeight="1" spans="1:104">
      <c r="A4" s="217"/>
      <c r="B4" s="218" t="s">
        <v>47</v>
      </c>
      <c r="C4" s="218" t="s">
        <v>48</v>
      </c>
      <c r="D4" s="218" t="s">
        <v>47</v>
      </c>
      <c r="E4" s="218" t="s">
        <v>48</v>
      </c>
      <c r="F4" s="218" t="s">
        <v>47</v>
      </c>
      <c r="G4" s="218" t="s">
        <v>48</v>
      </c>
      <c r="H4" s="218" t="s">
        <v>47</v>
      </c>
      <c r="I4" s="218" t="s">
        <v>48</v>
      </c>
      <c r="J4" s="218" t="s">
        <v>47</v>
      </c>
      <c r="K4" s="218" t="s">
        <v>48</v>
      </c>
      <c r="L4" s="218" t="s">
        <v>47</v>
      </c>
      <c r="M4" s="218" t="s">
        <v>48</v>
      </c>
      <c r="N4" s="218" t="s">
        <v>47</v>
      </c>
      <c r="O4" s="218" t="s">
        <v>48</v>
      </c>
      <c r="P4" s="218" t="s">
        <v>49</v>
      </c>
      <c r="Q4" s="218" t="s">
        <v>50</v>
      </c>
      <c r="R4" s="218" t="s">
        <v>47</v>
      </c>
      <c r="S4" s="218" t="s">
        <v>47</v>
      </c>
      <c r="T4" s="218" t="s">
        <v>48</v>
      </c>
      <c r="U4" s="218" t="s">
        <v>47</v>
      </c>
      <c r="V4" s="218" t="s">
        <v>51</v>
      </c>
      <c r="W4" s="218" t="s">
        <v>47</v>
      </c>
      <c r="X4" s="218" t="s">
        <v>51</v>
      </c>
      <c r="Y4" s="218" t="s">
        <v>48</v>
      </c>
      <c r="Z4" s="218" t="s">
        <v>51</v>
      </c>
      <c r="AA4" s="218" t="s">
        <v>52</v>
      </c>
      <c r="AB4" s="218" t="s">
        <v>53</v>
      </c>
      <c r="AC4" s="219" t="s">
        <v>54</v>
      </c>
      <c r="AD4" s="218" t="s">
        <v>48</v>
      </c>
      <c r="AE4" s="218" t="s">
        <v>55</v>
      </c>
      <c r="AF4" s="218" t="s">
        <v>56</v>
      </c>
      <c r="AG4" s="220" t="s">
        <v>55</v>
      </c>
      <c r="AH4" s="220" t="s">
        <v>56</v>
      </c>
      <c r="AI4" s="220" t="s">
        <v>55</v>
      </c>
      <c r="AJ4" s="220" t="s">
        <v>56</v>
      </c>
      <c r="AK4" s="218" t="s">
        <v>52</v>
      </c>
      <c r="AL4" s="218" t="s">
        <v>57</v>
      </c>
      <c r="AM4" s="218" t="s">
        <v>48</v>
      </c>
      <c r="AN4" s="218" t="s">
        <v>47</v>
      </c>
      <c r="AO4" s="218" t="s">
        <v>48</v>
      </c>
      <c r="AP4" s="218" t="s">
        <v>47</v>
      </c>
      <c r="AQ4" s="218" t="s">
        <v>48</v>
      </c>
      <c r="AR4" s="218" t="s">
        <v>47</v>
      </c>
      <c r="AS4" s="218" t="s">
        <v>48</v>
      </c>
      <c r="AT4" s="218" t="s">
        <v>47</v>
      </c>
      <c r="AU4" s="218" t="s">
        <v>48</v>
      </c>
      <c r="AV4" s="218" t="s">
        <v>47</v>
      </c>
      <c r="AW4" s="218" t="s">
        <v>48</v>
      </c>
      <c r="AX4" s="218" t="s">
        <v>47</v>
      </c>
      <c r="AY4" s="218" t="s">
        <v>48</v>
      </c>
      <c r="AZ4" s="218" t="s">
        <v>58</v>
      </c>
      <c r="BA4" s="218" t="s">
        <v>59</v>
      </c>
      <c r="BB4" s="221" t="s">
        <v>60</v>
      </c>
      <c r="BC4" s="222" t="s">
        <v>58</v>
      </c>
      <c r="BD4" s="223" t="s">
        <v>59</v>
      </c>
      <c r="BE4" s="222" t="s">
        <v>60</v>
      </c>
      <c r="BF4" s="218" t="s">
        <v>47</v>
      </c>
      <c r="BG4" s="218" t="s">
        <v>48</v>
      </c>
      <c r="BH4" s="224"/>
      <c r="BI4" s="225" t="s">
        <v>61</v>
      </c>
      <c r="BJ4" s="226" t="s">
        <v>62</v>
      </c>
      <c r="BK4" s="226" t="s">
        <v>63</v>
      </c>
      <c r="BL4" s="226" t="s">
        <v>64</v>
      </c>
      <c r="BM4" s="226" t="s">
        <v>65</v>
      </c>
      <c r="BN4" s="226" t="s">
        <v>66</v>
      </c>
      <c r="BO4" s="226" t="s">
        <v>67</v>
      </c>
      <c r="BP4" s="227" t="s">
        <v>68</v>
      </c>
      <c r="BQ4" s="228" t="s">
        <v>61</v>
      </c>
      <c r="BR4" s="226" t="s">
        <v>62</v>
      </c>
      <c r="BS4" s="226" t="s">
        <v>63</v>
      </c>
      <c r="BT4" s="226" t="s">
        <v>69</v>
      </c>
      <c r="BU4" s="226" t="s">
        <v>70</v>
      </c>
      <c r="BV4" s="226" t="s">
        <v>71</v>
      </c>
      <c r="BW4" s="226" t="s">
        <v>72</v>
      </c>
      <c r="BX4" s="229" t="s">
        <v>73</v>
      </c>
      <c r="BY4" s="225" t="s">
        <v>61</v>
      </c>
      <c r="BZ4" s="226" t="s">
        <v>62</v>
      </c>
      <c r="CA4" s="226" t="s">
        <v>63</v>
      </c>
      <c r="CB4" s="225" t="s">
        <v>69</v>
      </c>
      <c r="CC4" s="226" t="s">
        <v>70</v>
      </c>
      <c r="CD4" s="226" t="s">
        <v>74</v>
      </c>
      <c r="CE4" s="226" t="s">
        <v>75</v>
      </c>
      <c r="CF4" s="226" t="s">
        <v>72</v>
      </c>
      <c r="CG4" s="226" t="s">
        <v>73</v>
      </c>
      <c r="CH4" s="230" t="s">
        <v>76</v>
      </c>
      <c r="CI4" s="210"/>
      <c r="CJ4" s="231"/>
      <c r="CK4" s="226" t="s">
        <v>62</v>
      </c>
      <c r="CL4" s="227" t="s">
        <v>63</v>
      </c>
      <c r="CM4" s="232"/>
      <c r="CN4" s="233"/>
      <c r="CO4" s="232"/>
      <c r="CP4" s="232"/>
      <c r="CQ4" s="234"/>
      <c r="CR4" s="215"/>
      <c r="CS4" s="216"/>
      <c r="CT4" s="218" t="s">
        <v>77</v>
      </c>
      <c r="CU4" s="218" t="s">
        <v>78</v>
      </c>
      <c r="CV4" s="221" t="s">
        <v>79</v>
      </c>
      <c r="CX4" s="222" t="s">
        <v>58</v>
      </c>
      <c r="CY4" s="223" t="s">
        <v>59</v>
      </c>
      <c r="CZ4" s="222" t="s">
        <v>60</v>
      </c>
    </row>
    <row r="5" ht="18" customHeight="1" spans="1:104">
      <c r="A5" s="235" t="s">
        <v>80</v>
      </c>
      <c r="B5" s="236">
        <v>0</v>
      </c>
      <c r="C5" s="236">
        <v>0</v>
      </c>
      <c r="D5" s="236">
        <v>0</v>
      </c>
      <c r="E5" s="236">
        <v>0</v>
      </c>
      <c r="F5" s="236">
        <v>0</v>
      </c>
      <c r="G5" s="236">
        <v>0</v>
      </c>
      <c r="H5" s="236">
        <v>0</v>
      </c>
      <c r="I5" s="236">
        <v>0</v>
      </c>
      <c r="J5" s="236">
        <v>1</v>
      </c>
      <c r="K5" s="236">
        <v>0</v>
      </c>
      <c r="L5" s="236">
        <v>0</v>
      </c>
      <c r="M5" s="236">
        <v>0</v>
      </c>
      <c r="N5" s="236">
        <v>0</v>
      </c>
      <c r="O5" s="236">
        <v>0</v>
      </c>
      <c r="P5" s="236">
        <v>0</v>
      </c>
      <c r="Q5" s="236">
        <v>0</v>
      </c>
      <c r="R5" s="236">
        <v>0</v>
      </c>
      <c r="S5" s="236">
        <v>0</v>
      </c>
      <c r="T5" s="236">
        <v>0</v>
      </c>
      <c r="U5" s="236">
        <v>791</v>
      </c>
      <c r="V5" s="236">
        <v>243</v>
      </c>
      <c r="W5" s="236">
        <v>51</v>
      </c>
      <c r="X5" s="236">
        <v>3</v>
      </c>
      <c r="Y5" s="236">
        <v>0</v>
      </c>
      <c r="Z5" s="236">
        <v>0</v>
      </c>
      <c r="AA5" s="236">
        <v>19</v>
      </c>
      <c r="AB5" s="236">
        <v>7</v>
      </c>
      <c r="AC5" s="236">
        <v>1</v>
      </c>
      <c r="AD5" s="236">
        <v>0</v>
      </c>
      <c r="AE5" s="236">
        <v>0</v>
      </c>
      <c r="AF5" s="236">
        <v>0</v>
      </c>
      <c r="AG5" s="236">
        <v>0</v>
      </c>
      <c r="AH5" s="236">
        <v>0</v>
      </c>
      <c r="AI5" s="236">
        <v>0</v>
      </c>
      <c r="AJ5" s="236">
        <v>0</v>
      </c>
      <c r="AK5" s="236">
        <v>0</v>
      </c>
      <c r="AL5" s="236">
        <v>0</v>
      </c>
      <c r="AM5" s="236">
        <v>0</v>
      </c>
      <c r="AN5" s="236">
        <v>0</v>
      </c>
      <c r="AO5" s="236">
        <v>0</v>
      </c>
      <c r="AP5" s="236">
        <v>0</v>
      </c>
      <c r="AQ5" s="236">
        <v>0</v>
      </c>
      <c r="AR5" s="236">
        <v>0</v>
      </c>
      <c r="AS5" s="236">
        <v>0</v>
      </c>
      <c r="AT5" s="236">
        <v>0</v>
      </c>
      <c r="AU5" s="236">
        <v>0</v>
      </c>
      <c r="AV5" s="236">
        <v>0</v>
      </c>
      <c r="AW5" s="236">
        <v>0</v>
      </c>
      <c r="AX5" s="236">
        <v>0</v>
      </c>
      <c r="AY5" s="236">
        <v>0</v>
      </c>
      <c r="AZ5" s="236">
        <v>12</v>
      </c>
      <c r="BA5" s="236">
        <v>12</v>
      </c>
      <c r="BB5" s="236">
        <v>12</v>
      </c>
      <c r="BC5" s="236">
        <v>92</v>
      </c>
      <c r="BD5" s="236">
        <v>57</v>
      </c>
      <c r="BE5" s="236">
        <v>57</v>
      </c>
      <c r="BF5" s="236">
        <v>4</v>
      </c>
      <c r="BG5" s="236">
        <v>0</v>
      </c>
      <c r="BH5" s="236">
        <v>0</v>
      </c>
      <c r="BI5" s="236">
        <v>0</v>
      </c>
      <c r="BJ5" s="236">
        <v>0</v>
      </c>
      <c r="BK5" s="236">
        <v>0</v>
      </c>
      <c r="BL5" s="236">
        <v>0</v>
      </c>
      <c r="BM5" s="236">
        <v>0</v>
      </c>
      <c r="BN5" s="236">
        <v>0</v>
      </c>
      <c r="BO5" s="236">
        <v>0</v>
      </c>
      <c r="BP5" s="236">
        <v>0</v>
      </c>
      <c r="BQ5" s="236">
        <v>0</v>
      </c>
      <c r="BR5" s="236">
        <v>0</v>
      </c>
      <c r="BS5" s="236">
        <v>0</v>
      </c>
      <c r="BT5" s="236">
        <v>0</v>
      </c>
      <c r="BU5" s="236">
        <v>0</v>
      </c>
      <c r="BV5" s="236">
        <v>0</v>
      </c>
      <c r="BW5" s="236">
        <v>0</v>
      </c>
      <c r="BX5" s="236">
        <v>0</v>
      </c>
      <c r="BY5" s="236">
        <v>0</v>
      </c>
      <c r="BZ5" s="236">
        <v>0</v>
      </c>
      <c r="CA5" s="236">
        <v>0</v>
      </c>
      <c r="CB5" s="236">
        <v>0</v>
      </c>
      <c r="CC5" s="236">
        <v>0</v>
      </c>
      <c r="CD5" s="236">
        <v>0</v>
      </c>
      <c r="CE5" s="236">
        <v>0</v>
      </c>
      <c r="CF5" s="236">
        <v>0</v>
      </c>
      <c r="CG5" s="236">
        <v>0</v>
      </c>
      <c r="CH5" s="236">
        <v>0</v>
      </c>
      <c r="CI5" s="236">
        <f>AA5</f>
        <v>19</v>
      </c>
      <c r="CJ5" s="236">
        <v>19</v>
      </c>
      <c r="CK5" s="236">
        <v>12</v>
      </c>
      <c r="CL5" s="236">
        <v>7</v>
      </c>
      <c r="CM5" s="236">
        <v>0</v>
      </c>
      <c r="CN5" s="236">
        <v>0</v>
      </c>
      <c r="CO5" s="236">
        <v>0</v>
      </c>
      <c r="CP5" s="236">
        <v>0</v>
      </c>
      <c r="CQ5" s="236">
        <v>0</v>
      </c>
      <c r="CR5" s="236">
        <v>1</v>
      </c>
      <c r="CS5" s="236">
        <v>1</v>
      </c>
      <c r="CT5" s="236">
        <v>33</v>
      </c>
      <c r="CU5" s="236">
        <v>17</v>
      </c>
      <c r="CV5" s="236">
        <v>17</v>
      </c>
      <c r="CX5" s="236">
        <f>BC5-CT5</f>
        <v>59</v>
      </c>
      <c r="CY5" s="236">
        <f>BD5-CU5</f>
        <v>40</v>
      </c>
      <c r="CZ5" s="236">
        <f>BE5-CV5</f>
        <v>40</v>
      </c>
    </row>
    <row r="6" ht="18" customHeight="1" spans="1:104">
      <c r="A6" s="235" t="s">
        <v>81</v>
      </c>
      <c r="B6" s="236">
        <v>0</v>
      </c>
      <c r="C6" s="236">
        <v>0</v>
      </c>
      <c r="D6" s="236">
        <v>0</v>
      </c>
      <c r="E6" s="236">
        <v>0</v>
      </c>
      <c r="F6" s="236">
        <v>0</v>
      </c>
      <c r="G6" s="236">
        <v>0</v>
      </c>
      <c r="H6" s="236">
        <v>0</v>
      </c>
      <c r="I6" s="236">
        <v>0</v>
      </c>
      <c r="J6" s="236">
        <v>0</v>
      </c>
      <c r="K6" s="236">
        <v>0</v>
      </c>
      <c r="L6" s="236">
        <v>0</v>
      </c>
      <c r="M6" s="236">
        <v>0</v>
      </c>
      <c r="N6" s="236">
        <v>0</v>
      </c>
      <c r="O6" s="236">
        <v>0</v>
      </c>
      <c r="P6" s="236">
        <v>0</v>
      </c>
      <c r="Q6" s="236">
        <v>0</v>
      </c>
      <c r="R6" s="236">
        <v>0</v>
      </c>
      <c r="S6" s="236">
        <v>0</v>
      </c>
      <c r="T6" s="236">
        <v>0</v>
      </c>
      <c r="U6" s="236">
        <v>827</v>
      </c>
      <c r="V6" s="236">
        <v>205</v>
      </c>
      <c r="W6" s="236">
        <v>46</v>
      </c>
      <c r="X6" s="236">
        <v>1</v>
      </c>
      <c r="Y6" s="236">
        <v>0</v>
      </c>
      <c r="Z6" s="236">
        <v>0</v>
      </c>
      <c r="AA6" s="236">
        <v>26</v>
      </c>
      <c r="AB6" s="236">
        <v>9</v>
      </c>
      <c r="AC6" s="236">
        <v>5</v>
      </c>
      <c r="AD6" s="236">
        <v>0</v>
      </c>
      <c r="AE6" s="236">
        <v>0</v>
      </c>
      <c r="AF6" s="236">
        <v>0</v>
      </c>
      <c r="AG6" s="236">
        <v>0</v>
      </c>
      <c r="AH6" s="236">
        <v>0</v>
      </c>
      <c r="AI6" s="236">
        <v>0</v>
      </c>
      <c r="AJ6" s="236">
        <v>0</v>
      </c>
      <c r="AK6" s="236">
        <v>0</v>
      </c>
      <c r="AL6" s="236">
        <v>0</v>
      </c>
      <c r="AM6" s="236">
        <v>0</v>
      </c>
      <c r="AN6" s="236">
        <v>0</v>
      </c>
      <c r="AO6" s="236">
        <v>0</v>
      </c>
      <c r="AP6" s="236">
        <v>0</v>
      </c>
      <c r="AQ6" s="236">
        <v>0</v>
      </c>
      <c r="AR6" s="236">
        <v>0</v>
      </c>
      <c r="AS6" s="236">
        <v>0</v>
      </c>
      <c r="AT6" s="236">
        <v>0</v>
      </c>
      <c r="AU6" s="236">
        <v>0</v>
      </c>
      <c r="AV6" s="236">
        <v>0</v>
      </c>
      <c r="AW6" s="236">
        <v>0</v>
      </c>
      <c r="AX6" s="236">
        <v>0</v>
      </c>
      <c r="AY6" s="236">
        <v>0</v>
      </c>
      <c r="AZ6" s="236">
        <v>12</v>
      </c>
      <c r="BA6" s="236">
        <v>12</v>
      </c>
      <c r="BB6" s="236">
        <v>12</v>
      </c>
      <c r="BC6" s="236">
        <v>92</v>
      </c>
      <c r="BD6" s="236">
        <v>56</v>
      </c>
      <c r="BE6" s="236">
        <v>56</v>
      </c>
      <c r="BF6" s="236">
        <v>5</v>
      </c>
      <c r="BG6" s="236">
        <v>0</v>
      </c>
      <c r="BH6" s="236">
        <v>0</v>
      </c>
      <c r="BI6" s="236">
        <v>0</v>
      </c>
      <c r="BJ6" s="236">
        <v>0</v>
      </c>
      <c r="BK6" s="236">
        <v>0</v>
      </c>
      <c r="BL6" s="236">
        <v>0</v>
      </c>
      <c r="BM6" s="236">
        <v>0</v>
      </c>
      <c r="BN6" s="236">
        <v>0</v>
      </c>
      <c r="BO6" s="236">
        <v>0</v>
      </c>
      <c r="BP6" s="236">
        <v>0</v>
      </c>
      <c r="BQ6" s="236">
        <v>0</v>
      </c>
      <c r="BR6" s="236">
        <v>0</v>
      </c>
      <c r="BS6" s="236">
        <v>0</v>
      </c>
      <c r="BT6" s="236">
        <v>0</v>
      </c>
      <c r="BU6" s="236">
        <v>0</v>
      </c>
      <c r="BV6" s="236">
        <v>0</v>
      </c>
      <c r="BW6" s="236">
        <v>0</v>
      </c>
      <c r="BX6" s="236">
        <v>0</v>
      </c>
      <c r="BY6" s="236">
        <v>0</v>
      </c>
      <c r="BZ6" s="236">
        <v>0</v>
      </c>
      <c r="CA6" s="236">
        <v>0</v>
      </c>
      <c r="CB6" s="236">
        <v>0</v>
      </c>
      <c r="CC6" s="236">
        <v>0</v>
      </c>
      <c r="CD6" s="236">
        <v>0</v>
      </c>
      <c r="CE6" s="236">
        <v>0</v>
      </c>
      <c r="CF6" s="236">
        <v>0</v>
      </c>
      <c r="CG6" s="236">
        <v>0</v>
      </c>
      <c r="CH6" s="236">
        <v>0</v>
      </c>
      <c r="CI6" s="236">
        <f t="shared" ref="CI6:CI57" si="0">AA6</f>
        <v>26</v>
      </c>
      <c r="CJ6" s="236">
        <v>26</v>
      </c>
      <c r="CK6" s="236">
        <f>CJ6-CL6</f>
        <v>17</v>
      </c>
      <c r="CL6" s="236">
        <v>9</v>
      </c>
      <c r="CM6" s="236">
        <v>0</v>
      </c>
      <c r="CN6" s="236">
        <v>0</v>
      </c>
      <c r="CO6" s="236">
        <v>0</v>
      </c>
      <c r="CP6" s="236">
        <v>0</v>
      </c>
      <c r="CQ6" s="236">
        <v>0</v>
      </c>
      <c r="CR6" s="236">
        <v>0</v>
      </c>
      <c r="CS6" s="236">
        <v>0</v>
      </c>
      <c r="CT6" s="236">
        <v>33</v>
      </c>
      <c r="CU6" s="236">
        <v>18</v>
      </c>
      <c r="CV6" s="236">
        <v>18</v>
      </c>
      <c r="CX6" s="236">
        <f t="shared" ref="CX6:CX56" si="1">BC6-CT6</f>
        <v>59</v>
      </c>
      <c r="CY6" s="236">
        <f t="shared" ref="CY6:CY15" si="2">BD6-CU6</f>
        <v>38</v>
      </c>
      <c r="CZ6" s="236">
        <f t="shared" ref="CZ6:CZ56" si="3">BE6-CV6</f>
        <v>38</v>
      </c>
    </row>
    <row r="7" ht="18" customHeight="1" spans="1:104">
      <c r="A7" s="235" t="s">
        <v>82</v>
      </c>
      <c r="B7" s="236">
        <v>0</v>
      </c>
      <c r="C7" s="236">
        <v>0</v>
      </c>
      <c r="D7" s="236">
        <v>0</v>
      </c>
      <c r="E7" s="236">
        <v>0</v>
      </c>
      <c r="F7" s="236">
        <v>0</v>
      </c>
      <c r="G7" s="236">
        <v>0</v>
      </c>
      <c r="H7" s="236">
        <v>0</v>
      </c>
      <c r="I7" s="236">
        <v>0</v>
      </c>
      <c r="J7" s="236">
        <v>0</v>
      </c>
      <c r="K7" s="236">
        <v>0</v>
      </c>
      <c r="L7" s="236">
        <v>0</v>
      </c>
      <c r="M7" s="236">
        <v>0</v>
      </c>
      <c r="N7" s="236">
        <v>0</v>
      </c>
      <c r="O7" s="236">
        <v>0</v>
      </c>
      <c r="P7" s="236">
        <v>0</v>
      </c>
      <c r="Q7" s="236">
        <v>0</v>
      </c>
      <c r="R7" s="236">
        <v>0</v>
      </c>
      <c r="S7" s="236">
        <v>0</v>
      </c>
      <c r="T7" s="236">
        <v>0</v>
      </c>
      <c r="U7" s="236">
        <v>954</v>
      </c>
      <c r="V7" s="236">
        <v>263</v>
      </c>
      <c r="W7" s="236">
        <v>53</v>
      </c>
      <c r="X7" s="236">
        <v>6</v>
      </c>
      <c r="Y7" s="236">
        <v>0</v>
      </c>
      <c r="Z7" s="236">
        <v>0</v>
      </c>
      <c r="AA7" s="236">
        <v>29</v>
      </c>
      <c r="AB7" s="236">
        <v>18</v>
      </c>
      <c r="AC7" s="236">
        <v>6</v>
      </c>
      <c r="AD7" s="236">
        <v>0</v>
      </c>
      <c r="AE7" s="236">
        <v>0</v>
      </c>
      <c r="AF7" s="236">
        <v>0</v>
      </c>
      <c r="AG7" s="236">
        <v>0</v>
      </c>
      <c r="AH7" s="236">
        <v>0</v>
      </c>
      <c r="AI7" s="236">
        <v>0</v>
      </c>
      <c r="AJ7" s="236">
        <v>0</v>
      </c>
      <c r="AK7" s="236">
        <v>0</v>
      </c>
      <c r="AL7" s="236">
        <v>0</v>
      </c>
      <c r="AM7" s="236">
        <v>0</v>
      </c>
      <c r="AN7" s="236">
        <v>0</v>
      </c>
      <c r="AO7" s="236">
        <v>0</v>
      </c>
      <c r="AP7" s="236">
        <v>0</v>
      </c>
      <c r="AQ7" s="236">
        <v>0</v>
      </c>
      <c r="AR7" s="236">
        <v>0</v>
      </c>
      <c r="AS7" s="236">
        <v>0</v>
      </c>
      <c r="AT7" s="236">
        <v>0</v>
      </c>
      <c r="AU7" s="236">
        <v>0</v>
      </c>
      <c r="AV7" s="236">
        <v>0</v>
      </c>
      <c r="AW7" s="236">
        <v>0</v>
      </c>
      <c r="AX7" s="236">
        <v>0</v>
      </c>
      <c r="AY7" s="236">
        <v>0</v>
      </c>
      <c r="AZ7" s="236">
        <v>12</v>
      </c>
      <c r="BA7" s="236">
        <v>12</v>
      </c>
      <c r="BB7" s="236">
        <v>12</v>
      </c>
      <c r="BC7" s="236">
        <v>92</v>
      </c>
      <c r="BD7" s="236">
        <v>62</v>
      </c>
      <c r="BE7" s="236">
        <v>62</v>
      </c>
      <c r="BF7" s="236">
        <v>7</v>
      </c>
      <c r="BG7" s="236">
        <v>0</v>
      </c>
      <c r="BH7" s="236">
        <v>0</v>
      </c>
      <c r="BI7" s="236">
        <v>0</v>
      </c>
      <c r="BJ7" s="236">
        <v>0</v>
      </c>
      <c r="BK7" s="236">
        <v>0</v>
      </c>
      <c r="BL7" s="236">
        <v>0</v>
      </c>
      <c r="BM7" s="236">
        <v>0</v>
      </c>
      <c r="BN7" s="236">
        <v>0</v>
      </c>
      <c r="BO7" s="236">
        <v>0</v>
      </c>
      <c r="BP7" s="236">
        <v>0</v>
      </c>
      <c r="BQ7" s="236">
        <v>0</v>
      </c>
      <c r="BR7" s="236">
        <v>0</v>
      </c>
      <c r="BS7" s="236">
        <v>0</v>
      </c>
      <c r="BT7" s="236">
        <v>0</v>
      </c>
      <c r="BU7" s="236">
        <v>0</v>
      </c>
      <c r="BV7" s="236">
        <v>0</v>
      </c>
      <c r="BW7" s="236">
        <v>0</v>
      </c>
      <c r="BX7" s="236">
        <v>0</v>
      </c>
      <c r="BY7" s="236">
        <v>0</v>
      </c>
      <c r="BZ7" s="236">
        <v>0</v>
      </c>
      <c r="CA7" s="236">
        <v>0</v>
      </c>
      <c r="CB7" s="236">
        <v>0</v>
      </c>
      <c r="CC7" s="236">
        <v>0</v>
      </c>
      <c r="CD7" s="236">
        <v>0</v>
      </c>
      <c r="CE7" s="236">
        <v>0</v>
      </c>
      <c r="CF7" s="236">
        <v>0</v>
      </c>
      <c r="CG7" s="236">
        <v>0</v>
      </c>
      <c r="CH7" s="236">
        <v>0</v>
      </c>
      <c r="CI7" s="236">
        <f t="shared" ref="CI7" si="4">AA7</f>
        <v>29</v>
      </c>
      <c r="CJ7" s="236">
        <v>29</v>
      </c>
      <c r="CK7" s="236">
        <f>CJ7-CL7</f>
        <v>19</v>
      </c>
      <c r="CL7" s="236">
        <v>10</v>
      </c>
      <c r="CM7" s="236">
        <v>0</v>
      </c>
      <c r="CN7" s="236">
        <v>0</v>
      </c>
      <c r="CO7" s="236">
        <v>0</v>
      </c>
      <c r="CP7" s="236">
        <v>0</v>
      </c>
      <c r="CQ7" s="236">
        <v>0</v>
      </c>
      <c r="CR7" s="236">
        <v>0</v>
      </c>
      <c r="CS7" s="236">
        <v>0</v>
      </c>
      <c r="CT7" s="236">
        <v>33</v>
      </c>
      <c r="CU7" s="236">
        <v>21</v>
      </c>
      <c r="CV7" s="236">
        <v>21</v>
      </c>
      <c r="CX7" s="236">
        <f t="shared" si="1"/>
        <v>59</v>
      </c>
      <c r="CY7" s="236">
        <f t="shared" si="2"/>
        <v>41</v>
      </c>
      <c r="CZ7" s="236">
        <f t="shared" si="3"/>
        <v>41</v>
      </c>
    </row>
    <row r="8" ht="18" customHeight="1" spans="1:104">
      <c r="A8" s="235" t="s">
        <v>83</v>
      </c>
      <c r="B8" s="236">
        <v>0</v>
      </c>
      <c r="C8" s="236">
        <v>0</v>
      </c>
      <c r="D8" s="236">
        <v>0</v>
      </c>
      <c r="E8" s="236">
        <v>0</v>
      </c>
      <c r="F8" s="236">
        <v>0</v>
      </c>
      <c r="G8" s="236">
        <v>0</v>
      </c>
      <c r="H8" s="236">
        <v>0</v>
      </c>
      <c r="I8" s="236">
        <v>0</v>
      </c>
      <c r="J8" s="236">
        <v>0</v>
      </c>
      <c r="K8" s="236">
        <v>0</v>
      </c>
      <c r="L8" s="236">
        <v>0</v>
      </c>
      <c r="M8" s="236">
        <v>0</v>
      </c>
      <c r="N8" s="236">
        <v>0</v>
      </c>
      <c r="O8" s="236">
        <v>0</v>
      </c>
      <c r="P8" s="236">
        <v>0</v>
      </c>
      <c r="Q8" s="236">
        <v>0</v>
      </c>
      <c r="R8" s="236">
        <v>5</v>
      </c>
      <c r="S8" s="236">
        <v>0</v>
      </c>
      <c r="T8" s="236">
        <v>0</v>
      </c>
      <c r="U8" s="236">
        <v>851</v>
      </c>
      <c r="V8" s="236">
        <v>224</v>
      </c>
      <c r="W8" s="236">
        <v>30</v>
      </c>
      <c r="X8" s="236">
        <v>3</v>
      </c>
      <c r="Y8" s="236">
        <v>0</v>
      </c>
      <c r="Z8" s="236">
        <v>0</v>
      </c>
      <c r="AA8" s="236">
        <v>39</v>
      </c>
      <c r="AB8" s="236">
        <v>14</v>
      </c>
      <c r="AC8" s="236">
        <v>3</v>
      </c>
      <c r="AD8" s="236">
        <v>0</v>
      </c>
      <c r="AE8" s="236">
        <v>0</v>
      </c>
      <c r="AF8" s="236">
        <v>0</v>
      </c>
      <c r="AG8" s="236">
        <v>0</v>
      </c>
      <c r="AH8" s="236">
        <v>0</v>
      </c>
      <c r="AI8" s="236">
        <v>0</v>
      </c>
      <c r="AJ8" s="236">
        <v>0</v>
      </c>
      <c r="AK8" s="236">
        <v>0</v>
      </c>
      <c r="AL8" s="236">
        <v>0</v>
      </c>
      <c r="AM8" s="236">
        <v>0</v>
      </c>
      <c r="AN8" s="236">
        <v>0</v>
      </c>
      <c r="AO8" s="236">
        <v>0</v>
      </c>
      <c r="AP8" s="236">
        <v>0</v>
      </c>
      <c r="AQ8" s="236">
        <v>0</v>
      </c>
      <c r="AR8" s="236">
        <v>0</v>
      </c>
      <c r="AS8" s="236">
        <v>0</v>
      </c>
      <c r="AT8" s="236">
        <v>0</v>
      </c>
      <c r="AU8" s="236">
        <v>0</v>
      </c>
      <c r="AV8" s="236">
        <v>0</v>
      </c>
      <c r="AW8" s="236">
        <v>0</v>
      </c>
      <c r="AX8" s="236">
        <v>0</v>
      </c>
      <c r="AY8" s="236">
        <v>0</v>
      </c>
      <c r="AZ8" s="236">
        <v>12</v>
      </c>
      <c r="BA8" s="236">
        <v>12</v>
      </c>
      <c r="BB8" s="236">
        <v>12</v>
      </c>
      <c r="BC8" s="236">
        <v>92</v>
      </c>
      <c r="BD8" s="236">
        <v>54</v>
      </c>
      <c r="BE8" s="236">
        <v>54</v>
      </c>
      <c r="BF8" s="236">
        <v>8</v>
      </c>
      <c r="BG8" s="236">
        <v>0</v>
      </c>
      <c r="BH8" s="236">
        <v>0</v>
      </c>
      <c r="BI8" s="236">
        <v>0</v>
      </c>
      <c r="BJ8" s="236">
        <v>0</v>
      </c>
      <c r="BK8" s="236">
        <v>0</v>
      </c>
      <c r="BL8" s="236">
        <v>0</v>
      </c>
      <c r="BM8" s="236">
        <v>0</v>
      </c>
      <c r="BN8" s="236">
        <v>0</v>
      </c>
      <c r="BO8" s="236">
        <v>0</v>
      </c>
      <c r="BP8" s="236">
        <v>0</v>
      </c>
      <c r="BQ8" s="236">
        <v>0</v>
      </c>
      <c r="BR8" s="236">
        <v>0</v>
      </c>
      <c r="BS8" s="236">
        <v>0</v>
      </c>
      <c r="BT8" s="236">
        <v>0</v>
      </c>
      <c r="BU8" s="236">
        <v>0</v>
      </c>
      <c r="BV8" s="236">
        <v>0</v>
      </c>
      <c r="BW8" s="236">
        <v>0</v>
      </c>
      <c r="BX8" s="236">
        <v>0</v>
      </c>
      <c r="BY8" s="236">
        <v>0</v>
      </c>
      <c r="BZ8" s="236">
        <v>0</v>
      </c>
      <c r="CA8" s="236">
        <v>0</v>
      </c>
      <c r="CB8" s="236">
        <v>0</v>
      </c>
      <c r="CC8" s="236">
        <v>0</v>
      </c>
      <c r="CD8" s="236">
        <v>0</v>
      </c>
      <c r="CE8" s="236">
        <v>0</v>
      </c>
      <c r="CF8" s="236">
        <v>0</v>
      </c>
      <c r="CG8" s="236">
        <v>0</v>
      </c>
      <c r="CH8" s="236">
        <v>0</v>
      </c>
      <c r="CI8" s="236">
        <f t="shared" si="0"/>
        <v>39</v>
      </c>
      <c r="CJ8" s="236">
        <v>39</v>
      </c>
      <c r="CK8" s="236">
        <v>25</v>
      </c>
      <c r="CL8" s="236">
        <v>14</v>
      </c>
      <c r="CM8" s="236">
        <v>0</v>
      </c>
      <c r="CN8" s="236">
        <v>0</v>
      </c>
      <c r="CO8" s="236">
        <v>0</v>
      </c>
      <c r="CP8" s="236">
        <v>0</v>
      </c>
      <c r="CQ8" s="236">
        <v>0</v>
      </c>
      <c r="CR8" s="236">
        <v>0</v>
      </c>
      <c r="CS8" s="236">
        <v>0</v>
      </c>
      <c r="CT8" s="236">
        <v>33</v>
      </c>
      <c r="CU8" s="236">
        <v>15</v>
      </c>
      <c r="CV8" s="236">
        <v>15</v>
      </c>
      <c r="CX8" s="236">
        <f t="shared" si="1"/>
        <v>59</v>
      </c>
      <c r="CY8" s="236">
        <f t="shared" si="2"/>
        <v>39</v>
      </c>
      <c r="CZ8" s="236">
        <f t="shared" si="3"/>
        <v>39</v>
      </c>
    </row>
    <row r="9" ht="18" customHeight="1" spans="1:104">
      <c r="A9" s="235" t="s">
        <v>84</v>
      </c>
      <c r="B9" s="236">
        <v>0</v>
      </c>
      <c r="C9" s="236">
        <v>0</v>
      </c>
      <c r="D9" s="236">
        <v>0</v>
      </c>
      <c r="E9" s="236">
        <v>0</v>
      </c>
      <c r="F9" s="236">
        <v>0</v>
      </c>
      <c r="G9" s="236">
        <v>0</v>
      </c>
      <c r="H9" s="236">
        <v>0</v>
      </c>
      <c r="I9" s="236">
        <v>0</v>
      </c>
      <c r="J9" s="236">
        <v>0</v>
      </c>
      <c r="K9" s="236">
        <v>0</v>
      </c>
      <c r="L9" s="236">
        <v>0</v>
      </c>
      <c r="M9" s="236">
        <v>0</v>
      </c>
      <c r="N9" s="236">
        <v>0</v>
      </c>
      <c r="O9" s="236">
        <v>0</v>
      </c>
      <c r="P9" s="236">
        <v>0</v>
      </c>
      <c r="Q9" s="236">
        <v>0</v>
      </c>
      <c r="R9" s="236">
        <v>0</v>
      </c>
      <c r="S9" s="236">
        <v>0</v>
      </c>
      <c r="T9" s="236">
        <v>0</v>
      </c>
      <c r="U9" s="236">
        <v>967</v>
      </c>
      <c r="V9" s="236">
        <v>225</v>
      </c>
      <c r="W9" s="236">
        <v>46</v>
      </c>
      <c r="X9" s="236">
        <v>3</v>
      </c>
      <c r="Y9" s="236">
        <v>0</v>
      </c>
      <c r="Z9" s="236">
        <v>0</v>
      </c>
      <c r="AA9" s="236">
        <v>26</v>
      </c>
      <c r="AB9" s="236">
        <v>9</v>
      </c>
      <c r="AC9" s="236">
        <v>1</v>
      </c>
      <c r="AD9" s="236">
        <v>0</v>
      </c>
      <c r="AE9" s="236">
        <v>0</v>
      </c>
      <c r="AF9" s="236">
        <v>0</v>
      </c>
      <c r="AG9" s="236">
        <v>0</v>
      </c>
      <c r="AH9" s="236">
        <v>0</v>
      </c>
      <c r="AI9" s="236">
        <v>0</v>
      </c>
      <c r="AJ9" s="236">
        <v>0</v>
      </c>
      <c r="AK9" s="236">
        <v>0</v>
      </c>
      <c r="AL9" s="236">
        <v>0</v>
      </c>
      <c r="AM9" s="236">
        <v>0</v>
      </c>
      <c r="AN9" s="236">
        <v>0</v>
      </c>
      <c r="AO9" s="236">
        <v>0</v>
      </c>
      <c r="AP9" s="236">
        <v>0</v>
      </c>
      <c r="AQ9" s="236">
        <v>0</v>
      </c>
      <c r="AR9" s="236">
        <v>0</v>
      </c>
      <c r="AS9" s="236">
        <v>0</v>
      </c>
      <c r="AT9" s="236">
        <v>0</v>
      </c>
      <c r="AU9" s="236">
        <v>0</v>
      </c>
      <c r="AV9" s="236">
        <v>0</v>
      </c>
      <c r="AW9" s="236">
        <v>0</v>
      </c>
      <c r="AX9" s="236">
        <v>0</v>
      </c>
      <c r="AY9" s="236">
        <v>0</v>
      </c>
      <c r="AZ9" s="236">
        <v>12</v>
      </c>
      <c r="BA9" s="236">
        <v>12</v>
      </c>
      <c r="BB9" s="236">
        <v>12</v>
      </c>
      <c r="BC9" s="236">
        <v>92</v>
      </c>
      <c r="BD9" s="236">
        <v>73</v>
      </c>
      <c r="BE9" s="236">
        <v>73</v>
      </c>
      <c r="BF9" s="236">
        <v>3</v>
      </c>
      <c r="BG9" s="236">
        <v>0</v>
      </c>
      <c r="BH9" s="236">
        <v>0</v>
      </c>
      <c r="BI9" s="236">
        <v>0</v>
      </c>
      <c r="BJ9" s="236">
        <v>0</v>
      </c>
      <c r="BK9" s="236">
        <v>0</v>
      </c>
      <c r="BL9" s="236">
        <v>0</v>
      </c>
      <c r="BM9" s="236">
        <v>0</v>
      </c>
      <c r="BN9" s="236">
        <v>0</v>
      </c>
      <c r="BO9" s="236">
        <v>0</v>
      </c>
      <c r="BP9" s="236">
        <v>0</v>
      </c>
      <c r="BQ9" s="236">
        <v>0</v>
      </c>
      <c r="BR9" s="236">
        <v>0</v>
      </c>
      <c r="BS9" s="236">
        <v>0</v>
      </c>
      <c r="BT9" s="236">
        <v>0</v>
      </c>
      <c r="BU9" s="236">
        <v>0</v>
      </c>
      <c r="BV9" s="236">
        <v>0</v>
      </c>
      <c r="BW9" s="236">
        <v>0</v>
      </c>
      <c r="BX9" s="236">
        <v>0</v>
      </c>
      <c r="BY9" s="236">
        <v>0</v>
      </c>
      <c r="BZ9" s="236">
        <v>0</v>
      </c>
      <c r="CA9" s="236">
        <v>0</v>
      </c>
      <c r="CB9" s="236">
        <v>0</v>
      </c>
      <c r="CC9" s="236">
        <v>0</v>
      </c>
      <c r="CD9" s="236">
        <v>0</v>
      </c>
      <c r="CE9" s="236">
        <v>0</v>
      </c>
      <c r="CF9" s="236">
        <v>0</v>
      </c>
      <c r="CG9" s="236">
        <v>0</v>
      </c>
      <c r="CH9" s="236">
        <v>0</v>
      </c>
      <c r="CI9" s="236">
        <f t="shared" si="0"/>
        <v>26</v>
      </c>
      <c r="CJ9" s="236">
        <v>26</v>
      </c>
      <c r="CK9" s="236">
        <v>17</v>
      </c>
      <c r="CL9" s="236">
        <v>9</v>
      </c>
      <c r="CM9" s="236">
        <v>0</v>
      </c>
      <c r="CN9" s="236">
        <v>0</v>
      </c>
      <c r="CO9" s="236">
        <v>0</v>
      </c>
      <c r="CP9" s="236">
        <v>0</v>
      </c>
      <c r="CQ9" s="236">
        <v>0</v>
      </c>
      <c r="CR9" s="236">
        <v>0</v>
      </c>
      <c r="CS9" s="236">
        <v>0</v>
      </c>
      <c r="CT9" s="236">
        <v>33</v>
      </c>
      <c r="CU9" s="236">
        <v>24</v>
      </c>
      <c r="CV9" s="236">
        <v>24</v>
      </c>
      <c r="CX9" s="236">
        <f t="shared" si="1"/>
        <v>59</v>
      </c>
      <c r="CY9" s="236">
        <f t="shared" si="2"/>
        <v>49</v>
      </c>
      <c r="CZ9" s="236">
        <f t="shared" si="3"/>
        <v>49</v>
      </c>
    </row>
    <row r="10" ht="18" customHeight="1" spans="1:104">
      <c r="A10" s="235" t="s">
        <v>85</v>
      </c>
      <c r="B10" s="236">
        <v>0</v>
      </c>
      <c r="C10" s="236">
        <v>0</v>
      </c>
      <c r="D10" s="236">
        <v>0</v>
      </c>
      <c r="E10" s="236">
        <v>0</v>
      </c>
      <c r="F10" s="236">
        <v>0</v>
      </c>
      <c r="G10" s="236">
        <v>0</v>
      </c>
      <c r="H10" s="236">
        <v>0</v>
      </c>
      <c r="I10" s="236">
        <v>0</v>
      </c>
      <c r="J10" s="236">
        <v>0</v>
      </c>
      <c r="K10" s="236">
        <v>0</v>
      </c>
      <c r="L10" s="236">
        <v>0</v>
      </c>
      <c r="M10" s="236">
        <v>0</v>
      </c>
      <c r="N10" s="236">
        <v>0</v>
      </c>
      <c r="O10" s="236">
        <v>0</v>
      </c>
      <c r="P10" s="236">
        <v>0</v>
      </c>
      <c r="Q10" s="236">
        <v>0</v>
      </c>
      <c r="R10" s="236">
        <v>0</v>
      </c>
      <c r="S10" s="236">
        <v>0</v>
      </c>
      <c r="T10" s="236">
        <v>0</v>
      </c>
      <c r="U10" s="236">
        <v>888</v>
      </c>
      <c r="V10" s="236">
        <v>186</v>
      </c>
      <c r="W10" s="236">
        <v>41</v>
      </c>
      <c r="X10" s="236">
        <v>4</v>
      </c>
      <c r="Y10" s="236">
        <v>0</v>
      </c>
      <c r="Z10" s="236">
        <v>0</v>
      </c>
      <c r="AA10" s="236">
        <v>19</v>
      </c>
      <c r="AB10" s="236">
        <v>10</v>
      </c>
      <c r="AC10" s="236">
        <v>4</v>
      </c>
      <c r="AD10" s="236">
        <v>0</v>
      </c>
      <c r="AE10" s="236">
        <v>0</v>
      </c>
      <c r="AF10" s="236">
        <v>0</v>
      </c>
      <c r="AG10" s="236">
        <v>0</v>
      </c>
      <c r="AH10" s="236">
        <v>0</v>
      </c>
      <c r="AI10" s="236">
        <v>0</v>
      </c>
      <c r="AJ10" s="236">
        <v>0</v>
      </c>
      <c r="AK10" s="236">
        <v>0</v>
      </c>
      <c r="AL10" s="236">
        <v>0</v>
      </c>
      <c r="AM10" s="236">
        <v>0</v>
      </c>
      <c r="AN10" s="236">
        <v>0</v>
      </c>
      <c r="AO10" s="236">
        <v>0</v>
      </c>
      <c r="AP10" s="236">
        <v>0</v>
      </c>
      <c r="AQ10" s="236">
        <v>0</v>
      </c>
      <c r="AR10" s="236">
        <v>0</v>
      </c>
      <c r="AS10" s="236">
        <v>0</v>
      </c>
      <c r="AT10" s="236">
        <v>0</v>
      </c>
      <c r="AU10" s="236">
        <v>0</v>
      </c>
      <c r="AV10" s="236">
        <v>0</v>
      </c>
      <c r="AW10" s="236">
        <v>0</v>
      </c>
      <c r="AX10" s="236">
        <v>0</v>
      </c>
      <c r="AY10" s="236">
        <v>0</v>
      </c>
      <c r="AZ10" s="236">
        <v>12</v>
      </c>
      <c r="BA10" s="236">
        <v>12</v>
      </c>
      <c r="BB10" s="236">
        <v>12</v>
      </c>
      <c r="BC10" s="236">
        <v>92</v>
      </c>
      <c r="BD10" s="236">
        <v>72</v>
      </c>
      <c r="BE10" s="236">
        <v>72</v>
      </c>
      <c r="BF10" s="236">
        <v>9</v>
      </c>
      <c r="BG10" s="236">
        <v>0</v>
      </c>
      <c r="BH10" s="236">
        <v>0</v>
      </c>
      <c r="BI10" s="236">
        <v>0</v>
      </c>
      <c r="BJ10" s="236">
        <v>0</v>
      </c>
      <c r="BK10" s="236">
        <v>0</v>
      </c>
      <c r="BL10" s="236">
        <v>0</v>
      </c>
      <c r="BM10" s="236">
        <v>0</v>
      </c>
      <c r="BN10" s="236">
        <v>0</v>
      </c>
      <c r="BO10" s="236">
        <v>0</v>
      </c>
      <c r="BP10" s="236">
        <v>0</v>
      </c>
      <c r="BQ10" s="236">
        <v>0</v>
      </c>
      <c r="BR10" s="236">
        <v>0</v>
      </c>
      <c r="BS10" s="236">
        <v>0</v>
      </c>
      <c r="BT10" s="236">
        <v>0</v>
      </c>
      <c r="BU10" s="236">
        <v>0</v>
      </c>
      <c r="BV10" s="236">
        <v>0</v>
      </c>
      <c r="BW10" s="236">
        <v>0</v>
      </c>
      <c r="BX10" s="236">
        <v>0</v>
      </c>
      <c r="BY10" s="236">
        <v>0</v>
      </c>
      <c r="BZ10" s="236">
        <v>0</v>
      </c>
      <c r="CA10" s="236">
        <v>0</v>
      </c>
      <c r="CB10" s="236">
        <v>0</v>
      </c>
      <c r="CC10" s="236">
        <v>0</v>
      </c>
      <c r="CD10" s="236">
        <v>0</v>
      </c>
      <c r="CE10" s="236">
        <v>0</v>
      </c>
      <c r="CF10" s="236">
        <v>0</v>
      </c>
      <c r="CG10" s="236">
        <v>0</v>
      </c>
      <c r="CH10" s="236">
        <v>0</v>
      </c>
      <c r="CI10" s="236">
        <f t="shared" si="0"/>
        <v>19</v>
      </c>
      <c r="CJ10" s="236">
        <v>19</v>
      </c>
      <c r="CK10" s="236">
        <v>9</v>
      </c>
      <c r="CL10" s="236">
        <v>10</v>
      </c>
      <c r="CM10" s="236">
        <v>0</v>
      </c>
      <c r="CN10" s="236">
        <v>0</v>
      </c>
      <c r="CO10" s="236">
        <v>0</v>
      </c>
      <c r="CP10" s="236">
        <v>0</v>
      </c>
      <c r="CQ10" s="236">
        <v>0</v>
      </c>
      <c r="CR10" s="236">
        <v>0</v>
      </c>
      <c r="CS10" s="236">
        <v>0</v>
      </c>
      <c r="CT10" s="236">
        <v>33</v>
      </c>
      <c r="CU10" s="236">
        <v>25</v>
      </c>
      <c r="CV10" s="236">
        <v>25</v>
      </c>
      <c r="CX10" s="236">
        <f t="shared" si="1"/>
        <v>59</v>
      </c>
      <c r="CY10" s="236">
        <f t="shared" si="2"/>
        <v>47</v>
      </c>
      <c r="CZ10" s="236">
        <f t="shared" si="3"/>
        <v>47</v>
      </c>
    </row>
    <row r="11" ht="18" customHeight="1" spans="1:104">
      <c r="A11" s="235" t="s">
        <v>86</v>
      </c>
      <c r="B11" s="236">
        <v>1</v>
      </c>
      <c r="C11" s="236">
        <v>0</v>
      </c>
      <c r="D11" s="236">
        <v>0</v>
      </c>
      <c r="E11" s="236">
        <v>0</v>
      </c>
      <c r="F11" s="236">
        <v>0</v>
      </c>
      <c r="G11" s="236">
        <v>0</v>
      </c>
      <c r="H11" s="236">
        <v>0</v>
      </c>
      <c r="I11" s="236">
        <v>0</v>
      </c>
      <c r="J11" s="236">
        <v>0</v>
      </c>
      <c r="K11" s="236">
        <v>0</v>
      </c>
      <c r="L11" s="236">
        <v>0</v>
      </c>
      <c r="M11" s="236">
        <v>0</v>
      </c>
      <c r="N11" s="236">
        <v>0</v>
      </c>
      <c r="O11" s="236">
        <v>0</v>
      </c>
      <c r="P11" s="236">
        <v>0</v>
      </c>
      <c r="Q11" s="236">
        <v>0</v>
      </c>
      <c r="R11" s="236">
        <v>0</v>
      </c>
      <c r="S11" s="236">
        <v>0</v>
      </c>
      <c r="T11" s="236">
        <v>0</v>
      </c>
      <c r="U11" s="236">
        <v>854</v>
      </c>
      <c r="V11" s="236">
        <v>215</v>
      </c>
      <c r="W11" s="236">
        <v>47</v>
      </c>
      <c r="X11" s="236">
        <v>2</v>
      </c>
      <c r="Y11" s="236">
        <v>0</v>
      </c>
      <c r="Z11" s="236">
        <v>0</v>
      </c>
      <c r="AA11" s="236">
        <v>11</v>
      </c>
      <c r="AB11" s="236">
        <v>4</v>
      </c>
      <c r="AC11" s="236">
        <v>1</v>
      </c>
      <c r="AD11" s="236">
        <v>0</v>
      </c>
      <c r="AE11" s="236">
        <v>0</v>
      </c>
      <c r="AF11" s="236">
        <v>0</v>
      </c>
      <c r="AG11" s="236">
        <v>0</v>
      </c>
      <c r="AH11" s="236">
        <v>0</v>
      </c>
      <c r="AI11" s="236">
        <v>0</v>
      </c>
      <c r="AJ11" s="236">
        <v>0</v>
      </c>
      <c r="AK11" s="236">
        <v>0</v>
      </c>
      <c r="AL11" s="236">
        <v>0</v>
      </c>
      <c r="AM11" s="236">
        <v>0</v>
      </c>
      <c r="AN11" s="236">
        <v>0</v>
      </c>
      <c r="AO11" s="236">
        <v>0</v>
      </c>
      <c r="AP11" s="236">
        <v>0</v>
      </c>
      <c r="AQ11" s="236">
        <v>0</v>
      </c>
      <c r="AR11" s="236">
        <v>0</v>
      </c>
      <c r="AS11" s="236">
        <v>0</v>
      </c>
      <c r="AT11" s="236">
        <v>0</v>
      </c>
      <c r="AU11" s="236">
        <v>0</v>
      </c>
      <c r="AV11" s="236">
        <v>0</v>
      </c>
      <c r="AW11" s="236">
        <v>0</v>
      </c>
      <c r="AX11" s="236">
        <v>0</v>
      </c>
      <c r="AY11" s="236">
        <v>0</v>
      </c>
      <c r="AZ11" s="236">
        <v>12</v>
      </c>
      <c r="BA11" s="236">
        <v>12</v>
      </c>
      <c r="BB11" s="236">
        <v>12</v>
      </c>
      <c r="BC11" s="236">
        <v>92</v>
      </c>
      <c r="BD11" s="236">
        <v>81</v>
      </c>
      <c r="BE11" s="236">
        <v>81</v>
      </c>
      <c r="BF11" s="236">
        <v>4</v>
      </c>
      <c r="BG11" s="236">
        <v>0</v>
      </c>
      <c r="BH11" s="236">
        <v>1</v>
      </c>
      <c r="BI11" s="236">
        <v>1</v>
      </c>
      <c r="BJ11" s="236">
        <v>1</v>
      </c>
      <c r="BK11" s="236">
        <v>0</v>
      </c>
      <c r="BL11" s="236">
        <v>0</v>
      </c>
      <c r="BM11" s="236">
        <v>0</v>
      </c>
      <c r="BN11" s="236">
        <v>0</v>
      </c>
      <c r="BO11" s="236">
        <v>0</v>
      </c>
      <c r="BP11" s="236">
        <v>0</v>
      </c>
      <c r="BQ11" s="236">
        <v>0</v>
      </c>
      <c r="BR11" s="236">
        <v>0</v>
      </c>
      <c r="BS11" s="236">
        <v>0</v>
      </c>
      <c r="BT11" s="236">
        <v>0</v>
      </c>
      <c r="BU11" s="236">
        <v>0</v>
      </c>
      <c r="BV11" s="236">
        <v>0</v>
      </c>
      <c r="BW11" s="236">
        <v>0</v>
      </c>
      <c r="BX11" s="236">
        <v>0</v>
      </c>
      <c r="BY11" s="236">
        <v>0</v>
      </c>
      <c r="BZ11" s="236">
        <v>0</v>
      </c>
      <c r="CA11" s="236">
        <v>0</v>
      </c>
      <c r="CB11" s="236">
        <v>0</v>
      </c>
      <c r="CC11" s="236">
        <v>0</v>
      </c>
      <c r="CD11" s="236">
        <v>0</v>
      </c>
      <c r="CE11" s="236">
        <v>0</v>
      </c>
      <c r="CF11" s="236">
        <v>0</v>
      </c>
      <c r="CG11" s="236">
        <v>0</v>
      </c>
      <c r="CH11" s="236">
        <v>0</v>
      </c>
      <c r="CI11" s="236">
        <f t="shared" si="0"/>
        <v>11</v>
      </c>
      <c r="CJ11" s="236">
        <v>11</v>
      </c>
      <c r="CK11" s="236">
        <v>4</v>
      </c>
      <c r="CL11" s="236">
        <v>5</v>
      </c>
      <c r="CM11" s="236">
        <v>0</v>
      </c>
      <c r="CN11" s="236">
        <v>0</v>
      </c>
      <c r="CO11" s="236">
        <v>0</v>
      </c>
      <c r="CP11" s="236">
        <v>0</v>
      </c>
      <c r="CQ11" s="236">
        <v>0</v>
      </c>
      <c r="CR11" s="236">
        <v>0</v>
      </c>
      <c r="CS11" s="236">
        <v>0</v>
      </c>
      <c r="CT11" s="236">
        <v>33</v>
      </c>
      <c r="CU11" s="236">
        <v>21</v>
      </c>
      <c r="CV11" s="236">
        <v>21</v>
      </c>
      <c r="CX11" s="236">
        <f t="shared" si="1"/>
        <v>59</v>
      </c>
      <c r="CY11" s="236">
        <f t="shared" si="2"/>
        <v>60</v>
      </c>
      <c r="CZ11" s="236">
        <f t="shared" si="3"/>
        <v>60</v>
      </c>
    </row>
    <row r="12" ht="18" customHeight="1" spans="1:104">
      <c r="A12" s="235" t="s">
        <v>87</v>
      </c>
      <c r="B12" s="236">
        <v>0</v>
      </c>
      <c r="C12" s="236">
        <v>0</v>
      </c>
      <c r="D12" s="236">
        <v>0</v>
      </c>
      <c r="E12" s="236">
        <v>0</v>
      </c>
      <c r="F12" s="236">
        <v>0</v>
      </c>
      <c r="G12" s="236">
        <v>0</v>
      </c>
      <c r="H12" s="236">
        <v>0</v>
      </c>
      <c r="I12" s="236">
        <v>0</v>
      </c>
      <c r="J12" s="236">
        <v>0</v>
      </c>
      <c r="K12" s="236">
        <v>0</v>
      </c>
      <c r="L12" s="236">
        <v>0</v>
      </c>
      <c r="M12" s="236">
        <v>0</v>
      </c>
      <c r="N12" s="236">
        <v>0</v>
      </c>
      <c r="O12" s="236">
        <v>0</v>
      </c>
      <c r="P12" s="236">
        <v>0</v>
      </c>
      <c r="Q12" s="236">
        <v>0</v>
      </c>
      <c r="R12" s="236">
        <v>0</v>
      </c>
      <c r="S12" s="236">
        <v>0</v>
      </c>
      <c r="T12" s="236">
        <v>0</v>
      </c>
      <c r="U12" s="236">
        <v>832</v>
      </c>
      <c r="V12" s="236">
        <v>198</v>
      </c>
      <c r="W12" s="236">
        <v>45</v>
      </c>
      <c r="X12" s="236">
        <v>5</v>
      </c>
      <c r="Y12" s="236">
        <v>0</v>
      </c>
      <c r="Z12" s="236">
        <v>0</v>
      </c>
      <c r="AA12" s="236">
        <v>14</v>
      </c>
      <c r="AB12" s="236">
        <v>10</v>
      </c>
      <c r="AC12" s="236">
        <v>3</v>
      </c>
      <c r="AD12" s="236">
        <v>0</v>
      </c>
      <c r="AE12" s="236">
        <v>0</v>
      </c>
      <c r="AF12" s="236">
        <v>0</v>
      </c>
      <c r="AG12" s="236">
        <v>0</v>
      </c>
      <c r="AH12" s="236">
        <v>0</v>
      </c>
      <c r="AI12" s="236">
        <v>0</v>
      </c>
      <c r="AJ12" s="236">
        <v>0</v>
      </c>
      <c r="AK12" s="236">
        <v>0</v>
      </c>
      <c r="AL12" s="236">
        <v>0</v>
      </c>
      <c r="AM12" s="236">
        <v>0</v>
      </c>
      <c r="AN12" s="236">
        <v>0</v>
      </c>
      <c r="AO12" s="236">
        <v>0</v>
      </c>
      <c r="AP12" s="236">
        <v>0</v>
      </c>
      <c r="AQ12" s="236">
        <v>0</v>
      </c>
      <c r="AR12" s="236">
        <v>0</v>
      </c>
      <c r="AS12" s="236">
        <v>0</v>
      </c>
      <c r="AT12" s="236">
        <v>0</v>
      </c>
      <c r="AU12" s="236">
        <v>0</v>
      </c>
      <c r="AV12" s="236">
        <v>0</v>
      </c>
      <c r="AW12" s="236">
        <v>0</v>
      </c>
      <c r="AX12" s="236">
        <v>0</v>
      </c>
      <c r="AY12" s="236">
        <v>0</v>
      </c>
      <c r="AZ12" s="236">
        <v>12</v>
      </c>
      <c r="BA12" s="236">
        <v>12</v>
      </c>
      <c r="BB12" s="236">
        <v>12</v>
      </c>
      <c r="BC12" s="236">
        <v>92</v>
      </c>
      <c r="BD12" s="236">
        <v>67</v>
      </c>
      <c r="BE12" s="236">
        <v>67</v>
      </c>
      <c r="BF12" s="236">
        <v>8</v>
      </c>
      <c r="BG12" s="236">
        <v>0</v>
      </c>
      <c r="BH12" s="236">
        <v>0</v>
      </c>
      <c r="BI12" s="236">
        <v>0</v>
      </c>
      <c r="BJ12" s="236">
        <v>0</v>
      </c>
      <c r="BK12" s="236">
        <v>0</v>
      </c>
      <c r="BL12" s="236">
        <v>0</v>
      </c>
      <c r="BM12" s="236">
        <v>0</v>
      </c>
      <c r="BN12" s="236">
        <v>0</v>
      </c>
      <c r="BO12" s="236">
        <v>0</v>
      </c>
      <c r="BP12" s="236">
        <v>0</v>
      </c>
      <c r="BQ12" s="236">
        <v>0</v>
      </c>
      <c r="BR12" s="236">
        <v>0</v>
      </c>
      <c r="BS12" s="236">
        <v>0</v>
      </c>
      <c r="BT12" s="236">
        <v>0</v>
      </c>
      <c r="BU12" s="236">
        <v>0</v>
      </c>
      <c r="BV12" s="236">
        <v>0</v>
      </c>
      <c r="BW12" s="236">
        <v>0</v>
      </c>
      <c r="BX12" s="236">
        <v>0</v>
      </c>
      <c r="BY12" s="236">
        <v>0</v>
      </c>
      <c r="BZ12" s="236">
        <v>0</v>
      </c>
      <c r="CA12" s="236">
        <v>0</v>
      </c>
      <c r="CB12" s="236">
        <v>0</v>
      </c>
      <c r="CC12" s="236">
        <v>0</v>
      </c>
      <c r="CD12" s="236">
        <v>0</v>
      </c>
      <c r="CE12" s="236">
        <v>0</v>
      </c>
      <c r="CF12" s="236">
        <v>0</v>
      </c>
      <c r="CG12" s="236">
        <v>0</v>
      </c>
      <c r="CH12" s="236">
        <v>0</v>
      </c>
      <c r="CI12" s="236">
        <f t="shared" si="0"/>
        <v>14</v>
      </c>
      <c r="CJ12" s="236">
        <v>14</v>
      </c>
      <c r="CK12" s="236">
        <v>4</v>
      </c>
      <c r="CL12" s="236">
        <v>10</v>
      </c>
      <c r="CM12" s="236">
        <v>0</v>
      </c>
      <c r="CN12" s="236">
        <v>0</v>
      </c>
      <c r="CO12" s="236">
        <v>0</v>
      </c>
      <c r="CP12" s="236">
        <v>0</v>
      </c>
      <c r="CQ12" s="236">
        <v>0</v>
      </c>
      <c r="CR12" s="236">
        <v>0</v>
      </c>
      <c r="CS12" s="236">
        <v>0</v>
      </c>
      <c r="CT12" s="236">
        <v>33</v>
      </c>
      <c r="CU12" s="236">
        <v>23</v>
      </c>
      <c r="CV12" s="236">
        <v>23</v>
      </c>
      <c r="CX12" s="236">
        <f t="shared" si="1"/>
        <v>59</v>
      </c>
      <c r="CY12" s="236">
        <f t="shared" si="2"/>
        <v>44</v>
      </c>
      <c r="CZ12" s="236">
        <f t="shared" si="3"/>
        <v>44</v>
      </c>
    </row>
    <row r="13" ht="18" customHeight="1" spans="1:104">
      <c r="A13" s="235" t="s">
        <v>88</v>
      </c>
      <c r="B13" s="236">
        <v>0</v>
      </c>
      <c r="C13" s="236">
        <v>0</v>
      </c>
      <c r="D13" s="236">
        <v>0</v>
      </c>
      <c r="E13" s="236">
        <v>0</v>
      </c>
      <c r="F13" s="236">
        <v>0</v>
      </c>
      <c r="G13" s="236">
        <v>0</v>
      </c>
      <c r="H13" s="236">
        <v>0</v>
      </c>
      <c r="I13" s="236">
        <v>0</v>
      </c>
      <c r="J13" s="236">
        <v>0</v>
      </c>
      <c r="K13" s="236">
        <v>0</v>
      </c>
      <c r="L13" s="236">
        <v>0</v>
      </c>
      <c r="M13" s="236">
        <v>0</v>
      </c>
      <c r="N13" s="236">
        <v>0</v>
      </c>
      <c r="O13" s="236">
        <v>0</v>
      </c>
      <c r="P13" s="236">
        <v>0</v>
      </c>
      <c r="Q13" s="236">
        <v>0</v>
      </c>
      <c r="R13" s="236">
        <v>0</v>
      </c>
      <c r="S13" s="236">
        <v>0</v>
      </c>
      <c r="T13" s="236">
        <v>0</v>
      </c>
      <c r="U13" s="236">
        <v>736</v>
      </c>
      <c r="V13" s="236">
        <v>157</v>
      </c>
      <c r="W13" s="236">
        <v>34</v>
      </c>
      <c r="X13" s="236">
        <v>3</v>
      </c>
      <c r="Y13" s="236">
        <v>0</v>
      </c>
      <c r="Z13" s="236">
        <v>0</v>
      </c>
      <c r="AA13" s="236">
        <v>20</v>
      </c>
      <c r="AB13" s="236">
        <v>5</v>
      </c>
      <c r="AC13" s="236">
        <v>2</v>
      </c>
      <c r="AD13" s="236">
        <v>0</v>
      </c>
      <c r="AE13" s="236">
        <v>0</v>
      </c>
      <c r="AF13" s="236">
        <v>0</v>
      </c>
      <c r="AG13" s="236">
        <v>0</v>
      </c>
      <c r="AH13" s="236">
        <v>0</v>
      </c>
      <c r="AI13" s="236">
        <v>0</v>
      </c>
      <c r="AJ13" s="236">
        <v>0</v>
      </c>
      <c r="AK13" s="236">
        <v>0</v>
      </c>
      <c r="AL13" s="236">
        <v>0</v>
      </c>
      <c r="AM13" s="236">
        <v>0</v>
      </c>
      <c r="AN13" s="236">
        <v>0</v>
      </c>
      <c r="AO13" s="236">
        <v>0</v>
      </c>
      <c r="AP13" s="236">
        <v>0</v>
      </c>
      <c r="AQ13" s="236">
        <v>0</v>
      </c>
      <c r="AR13" s="236">
        <v>0</v>
      </c>
      <c r="AS13" s="236">
        <v>0</v>
      </c>
      <c r="AT13" s="236">
        <v>0</v>
      </c>
      <c r="AU13" s="236">
        <v>0</v>
      </c>
      <c r="AV13" s="236">
        <v>0</v>
      </c>
      <c r="AW13" s="236">
        <v>0</v>
      </c>
      <c r="AX13" s="236">
        <v>0</v>
      </c>
      <c r="AY13" s="236">
        <v>0</v>
      </c>
      <c r="AZ13" s="236">
        <v>12</v>
      </c>
      <c r="BA13" s="236">
        <v>12</v>
      </c>
      <c r="BB13" s="236">
        <v>12</v>
      </c>
      <c r="BC13" s="236">
        <v>92</v>
      </c>
      <c r="BD13" s="236">
        <v>72</v>
      </c>
      <c r="BE13" s="236">
        <v>71</v>
      </c>
      <c r="BF13" s="236">
        <v>7</v>
      </c>
      <c r="BG13" s="236">
        <v>0</v>
      </c>
      <c r="BH13" s="236">
        <v>0</v>
      </c>
      <c r="BI13" s="236">
        <v>0</v>
      </c>
      <c r="BJ13" s="236">
        <v>0</v>
      </c>
      <c r="BK13" s="236">
        <v>0</v>
      </c>
      <c r="BL13" s="236">
        <v>0</v>
      </c>
      <c r="BM13" s="236">
        <v>0</v>
      </c>
      <c r="BN13" s="236">
        <v>0</v>
      </c>
      <c r="BO13" s="236">
        <v>0</v>
      </c>
      <c r="BP13" s="236">
        <v>0</v>
      </c>
      <c r="BQ13" s="236">
        <v>0</v>
      </c>
      <c r="BR13" s="236">
        <v>0</v>
      </c>
      <c r="BS13" s="236">
        <v>0</v>
      </c>
      <c r="BT13" s="236">
        <v>0</v>
      </c>
      <c r="BU13" s="236">
        <v>0</v>
      </c>
      <c r="BV13" s="236">
        <v>0</v>
      </c>
      <c r="BW13" s="236">
        <v>0</v>
      </c>
      <c r="BX13" s="236">
        <v>0</v>
      </c>
      <c r="BY13" s="236">
        <v>0</v>
      </c>
      <c r="BZ13" s="236">
        <v>0</v>
      </c>
      <c r="CA13" s="236">
        <v>0</v>
      </c>
      <c r="CB13" s="236">
        <v>0</v>
      </c>
      <c r="CC13" s="236">
        <v>0</v>
      </c>
      <c r="CD13" s="236">
        <v>0</v>
      </c>
      <c r="CE13" s="236">
        <v>0</v>
      </c>
      <c r="CF13" s="236">
        <v>0</v>
      </c>
      <c r="CG13" s="236">
        <v>0</v>
      </c>
      <c r="CH13" s="236">
        <v>0</v>
      </c>
      <c r="CI13" s="236">
        <f t="shared" si="0"/>
        <v>20</v>
      </c>
      <c r="CJ13" s="236">
        <v>20</v>
      </c>
      <c r="CK13" s="236">
        <v>15</v>
      </c>
      <c r="CL13" s="236">
        <v>5</v>
      </c>
      <c r="CM13" s="236">
        <v>0</v>
      </c>
      <c r="CN13" s="236">
        <v>0</v>
      </c>
      <c r="CO13" s="236">
        <v>0</v>
      </c>
      <c r="CP13" s="236">
        <v>0</v>
      </c>
      <c r="CQ13" s="236">
        <v>0</v>
      </c>
      <c r="CR13" s="236">
        <v>0</v>
      </c>
      <c r="CS13" s="236">
        <v>0</v>
      </c>
      <c r="CT13" s="236">
        <v>33</v>
      </c>
      <c r="CU13" s="236">
        <v>26</v>
      </c>
      <c r="CV13" s="236">
        <v>26</v>
      </c>
      <c r="CX13" s="236">
        <f t="shared" si="1"/>
        <v>59</v>
      </c>
      <c r="CY13" s="236">
        <f t="shared" si="2"/>
        <v>46</v>
      </c>
      <c r="CZ13" s="236">
        <f t="shared" si="3"/>
        <v>45</v>
      </c>
    </row>
    <row r="14" ht="18" customHeight="1" spans="1:104">
      <c r="A14" s="235" t="s">
        <v>89</v>
      </c>
      <c r="B14" s="236">
        <v>0</v>
      </c>
      <c r="C14" s="236">
        <v>0</v>
      </c>
      <c r="D14" s="236">
        <v>0</v>
      </c>
      <c r="E14" s="236">
        <v>0</v>
      </c>
      <c r="F14" s="236">
        <v>0</v>
      </c>
      <c r="G14" s="236">
        <v>0</v>
      </c>
      <c r="H14" s="236">
        <v>0</v>
      </c>
      <c r="I14" s="236">
        <v>0</v>
      </c>
      <c r="J14" s="236">
        <v>0</v>
      </c>
      <c r="K14" s="236">
        <v>0</v>
      </c>
      <c r="L14" s="236">
        <v>0</v>
      </c>
      <c r="M14" s="236">
        <v>0</v>
      </c>
      <c r="N14" s="236">
        <v>0</v>
      </c>
      <c r="O14" s="236">
        <v>0</v>
      </c>
      <c r="P14" s="236">
        <v>0</v>
      </c>
      <c r="Q14" s="236">
        <v>0</v>
      </c>
      <c r="R14" s="236">
        <v>0</v>
      </c>
      <c r="S14" s="236">
        <v>0</v>
      </c>
      <c r="T14" s="236">
        <v>0</v>
      </c>
      <c r="U14" s="236">
        <v>782</v>
      </c>
      <c r="V14" s="236">
        <v>223</v>
      </c>
      <c r="W14" s="236">
        <v>34</v>
      </c>
      <c r="X14" s="236">
        <v>2</v>
      </c>
      <c r="Y14" s="236">
        <v>0</v>
      </c>
      <c r="Z14" s="236">
        <v>0</v>
      </c>
      <c r="AA14" s="236">
        <v>46</v>
      </c>
      <c r="AB14" s="236">
        <v>16</v>
      </c>
      <c r="AC14" s="236">
        <v>5</v>
      </c>
      <c r="AD14" s="236">
        <v>0</v>
      </c>
      <c r="AE14" s="236">
        <v>0</v>
      </c>
      <c r="AF14" s="236">
        <v>0</v>
      </c>
      <c r="AG14" s="236">
        <v>0</v>
      </c>
      <c r="AH14" s="236">
        <v>0</v>
      </c>
      <c r="AI14" s="236">
        <v>0</v>
      </c>
      <c r="AJ14" s="236">
        <v>0</v>
      </c>
      <c r="AK14" s="236">
        <v>0</v>
      </c>
      <c r="AL14" s="236">
        <v>0</v>
      </c>
      <c r="AM14" s="236">
        <v>0</v>
      </c>
      <c r="AN14" s="236">
        <v>0</v>
      </c>
      <c r="AO14" s="236">
        <v>0</v>
      </c>
      <c r="AP14" s="236">
        <v>0</v>
      </c>
      <c r="AQ14" s="236">
        <v>0</v>
      </c>
      <c r="AR14" s="236">
        <v>0</v>
      </c>
      <c r="AS14" s="236">
        <v>0</v>
      </c>
      <c r="AT14" s="236">
        <v>0</v>
      </c>
      <c r="AU14" s="236">
        <v>0</v>
      </c>
      <c r="AV14" s="236">
        <v>0</v>
      </c>
      <c r="AW14" s="236">
        <v>0</v>
      </c>
      <c r="AX14" s="236">
        <v>0</v>
      </c>
      <c r="AY14" s="236">
        <v>0</v>
      </c>
      <c r="AZ14" s="236">
        <v>12</v>
      </c>
      <c r="BA14" s="236">
        <v>12</v>
      </c>
      <c r="BB14" s="236">
        <v>12</v>
      </c>
      <c r="BC14" s="236">
        <v>92</v>
      </c>
      <c r="BD14" s="236">
        <v>72</v>
      </c>
      <c r="BE14" s="236">
        <v>70</v>
      </c>
      <c r="BF14" s="236">
        <v>10</v>
      </c>
      <c r="BG14" s="236">
        <v>0</v>
      </c>
      <c r="BH14" s="236">
        <v>0</v>
      </c>
      <c r="BI14" s="236">
        <v>0</v>
      </c>
      <c r="BJ14" s="236">
        <v>0</v>
      </c>
      <c r="BK14" s="236">
        <v>0</v>
      </c>
      <c r="BL14" s="236">
        <v>0</v>
      </c>
      <c r="BM14" s="236">
        <v>0</v>
      </c>
      <c r="BN14" s="236">
        <v>0</v>
      </c>
      <c r="BO14" s="236">
        <v>0</v>
      </c>
      <c r="BP14" s="236">
        <v>0</v>
      </c>
      <c r="BQ14" s="236">
        <v>0</v>
      </c>
      <c r="BR14" s="236">
        <v>0</v>
      </c>
      <c r="BS14" s="236">
        <v>0</v>
      </c>
      <c r="BT14" s="236">
        <v>0</v>
      </c>
      <c r="BU14" s="236">
        <v>0</v>
      </c>
      <c r="BV14" s="236">
        <v>0</v>
      </c>
      <c r="BW14" s="236">
        <v>0</v>
      </c>
      <c r="BX14" s="236">
        <v>0</v>
      </c>
      <c r="BY14" s="236">
        <v>0</v>
      </c>
      <c r="BZ14" s="236">
        <v>0</v>
      </c>
      <c r="CA14" s="236">
        <v>0</v>
      </c>
      <c r="CB14" s="236">
        <v>0</v>
      </c>
      <c r="CC14" s="236">
        <v>0</v>
      </c>
      <c r="CD14" s="236">
        <v>0</v>
      </c>
      <c r="CE14" s="236">
        <v>0</v>
      </c>
      <c r="CF14" s="236">
        <v>0</v>
      </c>
      <c r="CG14" s="236">
        <v>0</v>
      </c>
      <c r="CH14" s="236">
        <v>0</v>
      </c>
      <c r="CI14" s="236">
        <f t="shared" si="0"/>
        <v>46</v>
      </c>
      <c r="CJ14" s="236">
        <v>46</v>
      </c>
      <c r="CK14" s="236">
        <v>30</v>
      </c>
      <c r="CL14" s="236">
        <v>16</v>
      </c>
      <c r="CM14" s="236">
        <v>0</v>
      </c>
      <c r="CN14" s="236">
        <v>0</v>
      </c>
      <c r="CO14" s="236">
        <v>0</v>
      </c>
      <c r="CP14" s="236">
        <v>0</v>
      </c>
      <c r="CQ14" s="236">
        <v>0</v>
      </c>
      <c r="CR14" s="236">
        <v>0</v>
      </c>
      <c r="CS14" s="236">
        <v>0</v>
      </c>
      <c r="CT14" s="236">
        <v>33</v>
      </c>
      <c r="CU14" s="236">
        <v>24</v>
      </c>
      <c r="CV14" s="236">
        <v>24</v>
      </c>
      <c r="CX14" s="236">
        <f t="shared" si="1"/>
        <v>59</v>
      </c>
      <c r="CY14" s="236">
        <f t="shared" si="2"/>
        <v>48</v>
      </c>
      <c r="CZ14" s="236">
        <f t="shared" si="3"/>
        <v>46</v>
      </c>
    </row>
    <row r="15" ht="18" customHeight="1" spans="1:104">
      <c r="A15" s="235" t="s">
        <v>90</v>
      </c>
      <c r="B15" s="236">
        <v>0</v>
      </c>
      <c r="C15" s="236">
        <v>0</v>
      </c>
      <c r="D15" s="236">
        <v>1</v>
      </c>
      <c r="E15" s="236">
        <v>0</v>
      </c>
      <c r="F15" s="236">
        <v>0</v>
      </c>
      <c r="G15" s="236">
        <v>0</v>
      </c>
      <c r="H15" s="236">
        <v>0</v>
      </c>
      <c r="I15" s="236">
        <v>0</v>
      </c>
      <c r="J15" s="236">
        <v>0</v>
      </c>
      <c r="K15" s="236">
        <v>0</v>
      </c>
      <c r="L15" s="236">
        <v>0</v>
      </c>
      <c r="M15" s="236">
        <v>0</v>
      </c>
      <c r="N15" s="236">
        <v>0</v>
      </c>
      <c r="O15" s="236">
        <v>0</v>
      </c>
      <c r="P15" s="236">
        <v>0</v>
      </c>
      <c r="Q15" s="236">
        <v>0</v>
      </c>
      <c r="R15" s="236">
        <v>0</v>
      </c>
      <c r="S15" s="236">
        <v>0</v>
      </c>
      <c r="T15" s="236">
        <v>0</v>
      </c>
      <c r="U15" s="236">
        <v>826</v>
      </c>
      <c r="V15" s="236">
        <v>255</v>
      </c>
      <c r="W15" s="236">
        <v>39</v>
      </c>
      <c r="X15" s="236">
        <v>0</v>
      </c>
      <c r="Y15" s="236">
        <v>0</v>
      </c>
      <c r="Z15" s="236">
        <v>0</v>
      </c>
      <c r="AA15" s="236">
        <v>24</v>
      </c>
      <c r="AB15" s="236">
        <v>11</v>
      </c>
      <c r="AC15" s="236">
        <v>4</v>
      </c>
      <c r="AD15" s="236">
        <v>0</v>
      </c>
      <c r="AE15" s="236">
        <v>0</v>
      </c>
      <c r="AF15" s="236">
        <v>0</v>
      </c>
      <c r="AG15" s="236">
        <v>0</v>
      </c>
      <c r="AH15" s="236">
        <v>0</v>
      </c>
      <c r="AI15" s="236">
        <v>0</v>
      </c>
      <c r="AJ15" s="236">
        <v>0</v>
      </c>
      <c r="AK15" s="236">
        <v>0</v>
      </c>
      <c r="AL15" s="236">
        <v>0</v>
      </c>
      <c r="AM15" s="236">
        <v>0</v>
      </c>
      <c r="AN15" s="236">
        <v>0</v>
      </c>
      <c r="AO15" s="236">
        <v>0</v>
      </c>
      <c r="AP15" s="236">
        <v>0</v>
      </c>
      <c r="AQ15" s="236">
        <v>0</v>
      </c>
      <c r="AR15" s="236">
        <v>0</v>
      </c>
      <c r="AS15" s="236">
        <v>0</v>
      </c>
      <c r="AT15" s="236">
        <v>0</v>
      </c>
      <c r="AU15" s="236">
        <v>0</v>
      </c>
      <c r="AV15" s="236">
        <v>0</v>
      </c>
      <c r="AW15" s="236">
        <v>0</v>
      </c>
      <c r="AX15" s="236">
        <v>0</v>
      </c>
      <c r="AY15" s="236">
        <v>0</v>
      </c>
      <c r="AZ15" s="236">
        <v>12</v>
      </c>
      <c r="BA15" s="236">
        <v>12</v>
      </c>
      <c r="BB15" s="236">
        <v>12</v>
      </c>
      <c r="BC15" s="236">
        <v>92</v>
      </c>
      <c r="BD15" s="236">
        <v>82</v>
      </c>
      <c r="BE15" s="236">
        <v>81</v>
      </c>
      <c r="BF15" s="236">
        <v>27</v>
      </c>
      <c r="BG15" s="236">
        <v>0</v>
      </c>
      <c r="BH15" s="236">
        <v>0</v>
      </c>
      <c r="BI15" s="236">
        <v>0</v>
      </c>
      <c r="BJ15" s="236">
        <v>0</v>
      </c>
      <c r="BK15" s="236">
        <v>0</v>
      </c>
      <c r="BL15" s="236">
        <v>0</v>
      </c>
      <c r="BM15" s="236">
        <v>0</v>
      </c>
      <c r="BN15" s="236">
        <v>0</v>
      </c>
      <c r="BO15" s="236">
        <v>0</v>
      </c>
      <c r="BP15" s="236">
        <v>0</v>
      </c>
      <c r="BQ15" s="236">
        <v>0</v>
      </c>
      <c r="BR15" s="236">
        <v>0</v>
      </c>
      <c r="BS15" s="236">
        <v>0</v>
      </c>
      <c r="BT15" s="236">
        <v>0</v>
      </c>
      <c r="BU15" s="236">
        <v>0</v>
      </c>
      <c r="BV15" s="236">
        <v>0</v>
      </c>
      <c r="BW15" s="236">
        <v>0</v>
      </c>
      <c r="BX15" s="236">
        <v>0</v>
      </c>
      <c r="BY15" s="236">
        <v>0</v>
      </c>
      <c r="BZ15" s="236">
        <v>0</v>
      </c>
      <c r="CA15" s="236">
        <v>0</v>
      </c>
      <c r="CB15" s="236">
        <v>0</v>
      </c>
      <c r="CC15" s="236">
        <v>0</v>
      </c>
      <c r="CD15" s="236">
        <v>0</v>
      </c>
      <c r="CE15" s="236">
        <v>0</v>
      </c>
      <c r="CF15" s="236">
        <v>0</v>
      </c>
      <c r="CG15" s="236">
        <v>0</v>
      </c>
      <c r="CH15" s="236">
        <v>0</v>
      </c>
      <c r="CI15" s="236">
        <f t="shared" si="0"/>
        <v>24</v>
      </c>
      <c r="CJ15" s="236">
        <v>24</v>
      </c>
      <c r="CK15" s="236">
        <v>13</v>
      </c>
      <c r="CL15" s="236">
        <v>11</v>
      </c>
      <c r="CM15" s="236">
        <v>1</v>
      </c>
      <c r="CN15" s="236">
        <v>1</v>
      </c>
      <c r="CO15" s="236">
        <v>0</v>
      </c>
      <c r="CP15" s="236">
        <v>0</v>
      </c>
      <c r="CQ15" s="236">
        <v>0</v>
      </c>
      <c r="CR15" s="236">
        <v>0</v>
      </c>
      <c r="CS15" s="236">
        <v>0</v>
      </c>
      <c r="CT15" s="236">
        <v>33</v>
      </c>
      <c r="CU15" s="236">
        <v>32</v>
      </c>
      <c r="CV15" s="236">
        <v>32</v>
      </c>
      <c r="CX15" s="236">
        <f t="shared" si="1"/>
        <v>59</v>
      </c>
      <c r="CY15" s="236">
        <f t="shared" si="2"/>
        <v>50</v>
      </c>
      <c r="CZ15" s="236">
        <f t="shared" si="3"/>
        <v>49</v>
      </c>
    </row>
    <row r="16" ht="18" customHeight="1" spans="1:104">
      <c r="A16" s="235" t="s">
        <v>91</v>
      </c>
      <c r="B16" s="236">
        <v>0</v>
      </c>
      <c r="C16" s="236">
        <v>0</v>
      </c>
      <c r="D16" s="236">
        <v>0</v>
      </c>
      <c r="E16" s="236">
        <v>0</v>
      </c>
      <c r="F16" s="236">
        <v>0</v>
      </c>
      <c r="G16" s="236">
        <v>0</v>
      </c>
      <c r="H16" s="236">
        <v>0</v>
      </c>
      <c r="I16" s="236">
        <v>0</v>
      </c>
      <c r="J16" s="236">
        <v>0</v>
      </c>
      <c r="K16" s="236">
        <v>0</v>
      </c>
      <c r="L16" s="236">
        <v>2</v>
      </c>
      <c r="M16" s="236">
        <v>0</v>
      </c>
      <c r="N16" s="236">
        <v>0</v>
      </c>
      <c r="O16" s="236">
        <v>0</v>
      </c>
      <c r="P16" s="236">
        <v>0</v>
      </c>
      <c r="Q16" s="236">
        <v>0</v>
      </c>
      <c r="R16" s="236">
        <v>0</v>
      </c>
      <c r="S16" s="236">
        <v>0</v>
      </c>
      <c r="T16" s="236">
        <v>0</v>
      </c>
      <c r="U16" s="236">
        <v>774</v>
      </c>
      <c r="V16" s="236">
        <v>221</v>
      </c>
      <c r="W16" s="236">
        <v>48</v>
      </c>
      <c r="X16" s="236">
        <v>3</v>
      </c>
      <c r="Y16" s="236">
        <v>0</v>
      </c>
      <c r="Z16" s="236">
        <v>0</v>
      </c>
      <c r="AA16" s="236">
        <v>22</v>
      </c>
      <c r="AB16" s="236">
        <v>11</v>
      </c>
      <c r="AC16" s="236">
        <v>4</v>
      </c>
      <c r="AD16" s="236">
        <v>0</v>
      </c>
      <c r="AE16" s="236">
        <v>0</v>
      </c>
      <c r="AF16" s="236">
        <v>0</v>
      </c>
      <c r="AG16" s="236">
        <v>0</v>
      </c>
      <c r="AH16" s="236">
        <v>0</v>
      </c>
      <c r="AI16" s="236">
        <v>0</v>
      </c>
      <c r="AJ16" s="236">
        <v>0</v>
      </c>
      <c r="AK16" s="236">
        <v>0</v>
      </c>
      <c r="AL16" s="236">
        <v>0</v>
      </c>
      <c r="AM16" s="236">
        <v>0</v>
      </c>
      <c r="AN16" s="236">
        <v>0</v>
      </c>
      <c r="AO16" s="236">
        <v>0</v>
      </c>
      <c r="AP16" s="236">
        <v>0</v>
      </c>
      <c r="AQ16" s="236">
        <v>0</v>
      </c>
      <c r="AR16" s="236">
        <v>0</v>
      </c>
      <c r="AS16" s="236">
        <v>0</v>
      </c>
      <c r="AT16" s="236">
        <v>0</v>
      </c>
      <c r="AU16" s="236">
        <v>0</v>
      </c>
      <c r="AV16" s="236">
        <v>0</v>
      </c>
      <c r="AW16" s="236">
        <v>0</v>
      </c>
      <c r="AX16" s="236">
        <v>0</v>
      </c>
      <c r="AY16" s="236">
        <v>0</v>
      </c>
      <c r="AZ16" s="236">
        <v>12</v>
      </c>
      <c r="BA16" s="236">
        <v>12</v>
      </c>
      <c r="BB16" s="236">
        <v>12</v>
      </c>
      <c r="BC16" s="236">
        <v>92</v>
      </c>
      <c r="BD16" s="236">
        <v>87</v>
      </c>
      <c r="BE16" s="236">
        <v>87</v>
      </c>
      <c r="BF16" s="236">
        <v>20</v>
      </c>
      <c r="BG16" s="236">
        <v>0</v>
      </c>
      <c r="BH16" s="236">
        <v>0</v>
      </c>
      <c r="BI16" s="236">
        <v>0</v>
      </c>
      <c r="BJ16" s="236">
        <v>0</v>
      </c>
      <c r="BK16" s="236">
        <v>0</v>
      </c>
      <c r="BL16" s="236">
        <v>0</v>
      </c>
      <c r="BM16" s="236">
        <v>0</v>
      </c>
      <c r="BN16" s="236">
        <v>0</v>
      </c>
      <c r="BO16" s="236">
        <v>0</v>
      </c>
      <c r="BP16" s="236">
        <v>0</v>
      </c>
      <c r="BQ16" s="236">
        <v>0</v>
      </c>
      <c r="BR16" s="236">
        <v>0</v>
      </c>
      <c r="BS16" s="236">
        <v>0</v>
      </c>
      <c r="BT16" s="236">
        <v>0</v>
      </c>
      <c r="BU16" s="236">
        <v>0</v>
      </c>
      <c r="BV16" s="236">
        <v>0</v>
      </c>
      <c r="BW16" s="236">
        <v>0</v>
      </c>
      <c r="BX16" s="236">
        <v>0</v>
      </c>
      <c r="BY16" s="236">
        <v>0</v>
      </c>
      <c r="BZ16" s="236">
        <v>0</v>
      </c>
      <c r="CA16" s="236">
        <v>0</v>
      </c>
      <c r="CB16" s="236">
        <v>0</v>
      </c>
      <c r="CC16" s="236">
        <v>0</v>
      </c>
      <c r="CD16" s="236">
        <v>0</v>
      </c>
      <c r="CE16" s="236">
        <v>0</v>
      </c>
      <c r="CF16" s="236">
        <v>0</v>
      </c>
      <c r="CG16" s="236">
        <v>0</v>
      </c>
      <c r="CH16" s="236">
        <v>0</v>
      </c>
      <c r="CI16" s="236">
        <f t="shared" si="0"/>
        <v>22</v>
      </c>
      <c r="CJ16" s="236">
        <v>22</v>
      </c>
      <c r="CK16" s="236">
        <v>11</v>
      </c>
      <c r="CL16" s="236">
        <v>11</v>
      </c>
      <c r="CM16" s="236">
        <v>0</v>
      </c>
      <c r="CN16" s="236">
        <v>0</v>
      </c>
      <c r="CO16" s="236">
        <v>2</v>
      </c>
      <c r="CP16" s="236">
        <v>2</v>
      </c>
      <c r="CQ16" s="236">
        <v>2</v>
      </c>
      <c r="CR16" s="236">
        <v>0</v>
      </c>
      <c r="CS16" s="236">
        <v>0</v>
      </c>
      <c r="CT16" s="236">
        <v>33</v>
      </c>
      <c r="CU16" s="236">
        <v>33</v>
      </c>
      <c r="CV16" s="236">
        <v>33</v>
      </c>
      <c r="CX16" s="236">
        <f t="shared" si="1"/>
        <v>59</v>
      </c>
      <c r="CY16" s="236">
        <f t="shared" ref="CY16:CY56" si="5">BD16-CU16</f>
        <v>54</v>
      </c>
      <c r="CZ16" s="236">
        <f t="shared" si="3"/>
        <v>54</v>
      </c>
    </row>
    <row r="17" ht="18" customHeight="1" spans="1:104">
      <c r="A17" s="235" t="s">
        <v>92</v>
      </c>
      <c r="B17" s="236">
        <v>0</v>
      </c>
      <c r="C17" s="236">
        <v>0</v>
      </c>
      <c r="D17" s="236">
        <v>0</v>
      </c>
      <c r="E17" s="236">
        <v>0</v>
      </c>
      <c r="F17" s="236">
        <v>0</v>
      </c>
      <c r="G17" s="236">
        <v>0</v>
      </c>
      <c r="H17" s="236">
        <v>0</v>
      </c>
      <c r="I17" s="236">
        <v>0</v>
      </c>
      <c r="J17" s="236">
        <v>0</v>
      </c>
      <c r="K17" s="236">
        <v>0</v>
      </c>
      <c r="L17" s="236">
        <v>1</v>
      </c>
      <c r="M17" s="236">
        <v>0</v>
      </c>
      <c r="N17" s="236">
        <v>0</v>
      </c>
      <c r="O17" s="236">
        <v>0</v>
      </c>
      <c r="P17" s="236">
        <v>0</v>
      </c>
      <c r="Q17" s="236">
        <v>0</v>
      </c>
      <c r="R17" s="236">
        <v>0</v>
      </c>
      <c r="S17" s="236">
        <v>0</v>
      </c>
      <c r="T17" s="236">
        <v>0</v>
      </c>
      <c r="U17" s="236">
        <v>676</v>
      </c>
      <c r="V17" s="236">
        <v>190</v>
      </c>
      <c r="W17" s="236">
        <v>34</v>
      </c>
      <c r="X17" s="236">
        <v>4</v>
      </c>
      <c r="Y17" s="236">
        <v>0</v>
      </c>
      <c r="Z17" s="236">
        <v>0</v>
      </c>
      <c r="AA17" s="236">
        <v>20</v>
      </c>
      <c r="AB17" s="236">
        <v>7</v>
      </c>
      <c r="AC17" s="236">
        <v>4</v>
      </c>
      <c r="AD17" s="236">
        <v>0</v>
      </c>
      <c r="AE17" s="236">
        <v>0</v>
      </c>
      <c r="AF17" s="236">
        <v>0</v>
      </c>
      <c r="AG17" s="236">
        <v>0</v>
      </c>
      <c r="AH17" s="236">
        <v>0</v>
      </c>
      <c r="AI17" s="236">
        <v>0</v>
      </c>
      <c r="AJ17" s="236">
        <v>0</v>
      </c>
      <c r="AK17" s="236">
        <v>0</v>
      </c>
      <c r="AL17" s="236">
        <v>0</v>
      </c>
      <c r="AM17" s="236">
        <v>0</v>
      </c>
      <c r="AN17" s="236">
        <v>0</v>
      </c>
      <c r="AO17" s="236">
        <v>0</v>
      </c>
      <c r="AP17" s="236">
        <v>0</v>
      </c>
      <c r="AQ17" s="236">
        <v>0</v>
      </c>
      <c r="AR17" s="236">
        <v>0</v>
      </c>
      <c r="AS17" s="236">
        <v>0</v>
      </c>
      <c r="AT17" s="236">
        <v>0</v>
      </c>
      <c r="AU17" s="236">
        <v>0</v>
      </c>
      <c r="AV17" s="236">
        <v>0</v>
      </c>
      <c r="AW17" s="236">
        <v>0</v>
      </c>
      <c r="AX17" s="236">
        <v>0</v>
      </c>
      <c r="AY17" s="236">
        <v>0</v>
      </c>
      <c r="AZ17" s="236">
        <v>12</v>
      </c>
      <c r="BA17" s="236">
        <v>12</v>
      </c>
      <c r="BB17" s="236">
        <v>12</v>
      </c>
      <c r="BC17" s="236">
        <v>92</v>
      </c>
      <c r="BD17" s="236">
        <v>67</v>
      </c>
      <c r="BE17" s="236">
        <v>66</v>
      </c>
      <c r="BF17" s="236">
        <v>17</v>
      </c>
      <c r="BG17" s="236">
        <v>0</v>
      </c>
      <c r="BH17" s="236">
        <v>0</v>
      </c>
      <c r="BI17" s="236">
        <v>0</v>
      </c>
      <c r="BJ17" s="236">
        <v>0</v>
      </c>
      <c r="BK17" s="236">
        <v>0</v>
      </c>
      <c r="BL17" s="236">
        <v>0</v>
      </c>
      <c r="BM17" s="236">
        <v>0</v>
      </c>
      <c r="BN17" s="236">
        <v>0</v>
      </c>
      <c r="BO17" s="236">
        <v>0</v>
      </c>
      <c r="BP17" s="236">
        <v>0</v>
      </c>
      <c r="BQ17" s="236">
        <v>0</v>
      </c>
      <c r="BR17" s="236">
        <v>0</v>
      </c>
      <c r="BS17" s="236">
        <v>0</v>
      </c>
      <c r="BT17" s="236">
        <v>0</v>
      </c>
      <c r="BU17" s="236">
        <v>0</v>
      </c>
      <c r="BV17" s="236">
        <v>0</v>
      </c>
      <c r="BW17" s="236">
        <v>0</v>
      </c>
      <c r="BX17" s="236">
        <v>0</v>
      </c>
      <c r="BY17" s="236">
        <v>0</v>
      </c>
      <c r="BZ17" s="236">
        <v>0</v>
      </c>
      <c r="CA17" s="236">
        <v>0</v>
      </c>
      <c r="CB17" s="236">
        <v>0</v>
      </c>
      <c r="CC17" s="236">
        <v>0</v>
      </c>
      <c r="CD17" s="236">
        <v>0</v>
      </c>
      <c r="CE17" s="236">
        <v>0</v>
      </c>
      <c r="CF17" s="236">
        <v>0</v>
      </c>
      <c r="CG17" s="236">
        <v>0</v>
      </c>
      <c r="CH17" s="236">
        <v>0</v>
      </c>
      <c r="CI17" s="236">
        <f t="shared" si="0"/>
        <v>20</v>
      </c>
      <c r="CJ17" s="236">
        <v>20</v>
      </c>
      <c r="CK17" s="236">
        <v>13</v>
      </c>
      <c r="CL17" s="236">
        <v>7</v>
      </c>
      <c r="CM17" s="236">
        <v>0</v>
      </c>
      <c r="CN17" s="236">
        <v>0</v>
      </c>
      <c r="CO17" s="236">
        <v>1</v>
      </c>
      <c r="CP17" s="236">
        <v>1</v>
      </c>
      <c r="CQ17" s="236">
        <v>1</v>
      </c>
      <c r="CR17" s="236">
        <v>0</v>
      </c>
      <c r="CS17" s="236">
        <v>0</v>
      </c>
      <c r="CT17" s="236">
        <v>33</v>
      </c>
      <c r="CU17" s="236">
        <v>27</v>
      </c>
      <c r="CV17" s="236">
        <v>27</v>
      </c>
      <c r="CX17" s="236">
        <f t="shared" si="1"/>
        <v>59</v>
      </c>
      <c r="CY17" s="236">
        <f t="shared" si="5"/>
        <v>40</v>
      </c>
      <c r="CZ17" s="236">
        <f t="shared" si="3"/>
        <v>39</v>
      </c>
    </row>
    <row r="18" ht="18" customHeight="1" spans="1:104">
      <c r="A18" s="235" t="s">
        <v>93</v>
      </c>
      <c r="B18" s="236">
        <v>0</v>
      </c>
      <c r="C18" s="236">
        <v>0</v>
      </c>
      <c r="D18" s="236">
        <v>0</v>
      </c>
      <c r="E18" s="236">
        <v>0</v>
      </c>
      <c r="F18" s="236">
        <v>0</v>
      </c>
      <c r="G18" s="236">
        <v>0</v>
      </c>
      <c r="H18" s="236">
        <v>0</v>
      </c>
      <c r="I18" s="236">
        <v>0</v>
      </c>
      <c r="J18" s="236">
        <v>0</v>
      </c>
      <c r="K18" s="236">
        <v>0</v>
      </c>
      <c r="L18" s="236">
        <v>0</v>
      </c>
      <c r="M18" s="236">
        <v>0</v>
      </c>
      <c r="N18" s="236">
        <v>0</v>
      </c>
      <c r="O18" s="236">
        <v>0</v>
      </c>
      <c r="P18" s="236">
        <v>0</v>
      </c>
      <c r="Q18" s="236">
        <v>0</v>
      </c>
      <c r="R18" s="236">
        <v>0</v>
      </c>
      <c r="S18" s="236">
        <v>0</v>
      </c>
      <c r="T18" s="236">
        <v>0</v>
      </c>
      <c r="U18" s="236">
        <v>748</v>
      </c>
      <c r="V18" s="236">
        <v>189</v>
      </c>
      <c r="W18" s="236">
        <v>31</v>
      </c>
      <c r="X18" s="236">
        <v>2</v>
      </c>
      <c r="Y18" s="236">
        <v>0</v>
      </c>
      <c r="Z18" s="236">
        <v>0</v>
      </c>
      <c r="AA18" s="236">
        <v>22</v>
      </c>
      <c r="AB18" s="236">
        <v>8</v>
      </c>
      <c r="AC18" s="236">
        <v>2</v>
      </c>
      <c r="AD18" s="236">
        <v>0</v>
      </c>
      <c r="AE18" s="236">
        <v>0</v>
      </c>
      <c r="AF18" s="236">
        <v>0</v>
      </c>
      <c r="AG18" s="236">
        <v>0</v>
      </c>
      <c r="AH18" s="236">
        <v>0</v>
      </c>
      <c r="AI18" s="236">
        <v>0</v>
      </c>
      <c r="AJ18" s="236">
        <v>0</v>
      </c>
      <c r="AK18" s="236">
        <v>0</v>
      </c>
      <c r="AL18" s="236">
        <v>0</v>
      </c>
      <c r="AM18" s="236">
        <v>0</v>
      </c>
      <c r="AN18" s="236">
        <v>0</v>
      </c>
      <c r="AO18" s="236">
        <v>0</v>
      </c>
      <c r="AP18" s="236">
        <v>0</v>
      </c>
      <c r="AQ18" s="236">
        <v>0</v>
      </c>
      <c r="AR18" s="236">
        <v>0</v>
      </c>
      <c r="AS18" s="236">
        <v>0</v>
      </c>
      <c r="AT18" s="236">
        <v>0</v>
      </c>
      <c r="AU18" s="236">
        <v>0</v>
      </c>
      <c r="AV18" s="236">
        <v>0</v>
      </c>
      <c r="AW18" s="236">
        <v>0</v>
      </c>
      <c r="AX18" s="236">
        <v>0</v>
      </c>
      <c r="AY18" s="236">
        <v>0</v>
      </c>
      <c r="AZ18" s="236">
        <v>12</v>
      </c>
      <c r="BA18" s="236">
        <v>12</v>
      </c>
      <c r="BB18" s="236">
        <v>12</v>
      </c>
      <c r="BC18" s="236">
        <v>92</v>
      </c>
      <c r="BD18" s="236">
        <v>84</v>
      </c>
      <c r="BE18" s="236">
        <v>84</v>
      </c>
      <c r="BF18" s="236">
        <v>17</v>
      </c>
      <c r="BG18" s="236">
        <v>0</v>
      </c>
      <c r="BH18" s="236">
        <v>0</v>
      </c>
      <c r="BI18" s="236">
        <v>0</v>
      </c>
      <c r="BJ18" s="236">
        <v>0</v>
      </c>
      <c r="BK18" s="236">
        <v>0</v>
      </c>
      <c r="BL18" s="236">
        <v>0</v>
      </c>
      <c r="BM18" s="236">
        <v>0</v>
      </c>
      <c r="BN18" s="236">
        <v>0</v>
      </c>
      <c r="BO18" s="236">
        <v>0</v>
      </c>
      <c r="BP18" s="236">
        <v>0</v>
      </c>
      <c r="BQ18" s="236">
        <v>0</v>
      </c>
      <c r="BR18" s="236">
        <v>0</v>
      </c>
      <c r="BS18" s="236">
        <v>0</v>
      </c>
      <c r="BT18" s="236">
        <v>0</v>
      </c>
      <c r="BU18" s="236">
        <v>0</v>
      </c>
      <c r="BV18" s="236">
        <v>0</v>
      </c>
      <c r="BW18" s="236">
        <v>0</v>
      </c>
      <c r="BX18" s="236">
        <v>0</v>
      </c>
      <c r="BY18" s="236">
        <v>0</v>
      </c>
      <c r="BZ18" s="236">
        <v>0</v>
      </c>
      <c r="CA18" s="236">
        <v>0</v>
      </c>
      <c r="CB18" s="236">
        <v>0</v>
      </c>
      <c r="CC18" s="236">
        <v>0</v>
      </c>
      <c r="CD18" s="236">
        <v>0</v>
      </c>
      <c r="CE18" s="236">
        <v>0</v>
      </c>
      <c r="CF18" s="236">
        <v>0</v>
      </c>
      <c r="CG18" s="236">
        <v>0</v>
      </c>
      <c r="CH18" s="236">
        <v>0</v>
      </c>
      <c r="CI18" s="236">
        <f t="shared" si="0"/>
        <v>22</v>
      </c>
      <c r="CJ18" s="236">
        <v>22</v>
      </c>
      <c r="CK18" s="236">
        <v>14</v>
      </c>
      <c r="CL18" s="236">
        <v>8</v>
      </c>
      <c r="CM18" s="236">
        <v>0</v>
      </c>
      <c r="CN18" s="236">
        <v>0</v>
      </c>
      <c r="CO18" s="236">
        <v>0</v>
      </c>
      <c r="CP18" s="236">
        <v>0</v>
      </c>
      <c r="CQ18" s="236">
        <v>0</v>
      </c>
      <c r="CR18" s="236">
        <v>0</v>
      </c>
      <c r="CS18" s="236">
        <v>0</v>
      </c>
      <c r="CT18" s="236">
        <v>33</v>
      </c>
      <c r="CU18" s="236">
        <v>32</v>
      </c>
      <c r="CV18" s="236">
        <v>32</v>
      </c>
      <c r="CX18" s="236">
        <f t="shared" si="1"/>
        <v>59</v>
      </c>
      <c r="CY18" s="236">
        <f t="shared" si="5"/>
        <v>52</v>
      </c>
      <c r="CZ18" s="236">
        <f t="shared" si="3"/>
        <v>52</v>
      </c>
    </row>
    <row r="19" ht="18" customHeight="1" spans="1:104">
      <c r="A19" s="235" t="s">
        <v>94</v>
      </c>
      <c r="B19" s="236">
        <v>0</v>
      </c>
      <c r="C19" s="236">
        <v>0</v>
      </c>
      <c r="D19" s="236">
        <v>0</v>
      </c>
      <c r="E19" s="236">
        <v>0</v>
      </c>
      <c r="F19" s="236">
        <v>0</v>
      </c>
      <c r="G19" s="236">
        <v>0</v>
      </c>
      <c r="H19" s="236">
        <v>0</v>
      </c>
      <c r="I19" s="236">
        <v>0</v>
      </c>
      <c r="J19" s="236">
        <v>0</v>
      </c>
      <c r="K19" s="236">
        <v>0</v>
      </c>
      <c r="L19" s="236">
        <v>0</v>
      </c>
      <c r="M19" s="236">
        <v>0</v>
      </c>
      <c r="N19" s="236">
        <v>0</v>
      </c>
      <c r="O19" s="236">
        <v>0</v>
      </c>
      <c r="P19" s="236">
        <v>0</v>
      </c>
      <c r="Q19" s="236">
        <v>0</v>
      </c>
      <c r="R19" s="236">
        <v>0</v>
      </c>
      <c r="S19" s="236">
        <v>0</v>
      </c>
      <c r="T19" s="236">
        <v>0</v>
      </c>
      <c r="U19" s="236">
        <v>835</v>
      </c>
      <c r="V19" s="236">
        <v>237</v>
      </c>
      <c r="W19" s="236">
        <v>30</v>
      </c>
      <c r="X19" s="236">
        <v>4</v>
      </c>
      <c r="Y19" s="236">
        <v>0</v>
      </c>
      <c r="Z19" s="236">
        <v>0</v>
      </c>
      <c r="AA19" s="236">
        <v>38</v>
      </c>
      <c r="AB19" s="236">
        <v>12</v>
      </c>
      <c r="AC19" s="236">
        <v>2</v>
      </c>
      <c r="AD19" s="236">
        <v>0</v>
      </c>
      <c r="AE19" s="236">
        <v>0</v>
      </c>
      <c r="AF19" s="236">
        <v>0</v>
      </c>
      <c r="AG19" s="236">
        <v>0</v>
      </c>
      <c r="AH19" s="236">
        <v>0</v>
      </c>
      <c r="AI19" s="236">
        <v>0</v>
      </c>
      <c r="AJ19" s="236">
        <v>0</v>
      </c>
      <c r="AK19" s="236">
        <v>0</v>
      </c>
      <c r="AL19" s="236">
        <v>0</v>
      </c>
      <c r="AM19" s="236">
        <v>0</v>
      </c>
      <c r="AN19" s="236">
        <v>0</v>
      </c>
      <c r="AO19" s="236">
        <v>0</v>
      </c>
      <c r="AP19" s="236">
        <v>0</v>
      </c>
      <c r="AQ19" s="236">
        <v>0</v>
      </c>
      <c r="AR19" s="236">
        <v>0</v>
      </c>
      <c r="AS19" s="236">
        <v>0</v>
      </c>
      <c r="AT19" s="236">
        <v>0</v>
      </c>
      <c r="AU19" s="236">
        <v>0</v>
      </c>
      <c r="AV19" s="236">
        <v>0</v>
      </c>
      <c r="AW19" s="236">
        <v>0</v>
      </c>
      <c r="AX19" s="236">
        <v>0</v>
      </c>
      <c r="AY19" s="236">
        <v>0</v>
      </c>
      <c r="AZ19" s="236">
        <v>12</v>
      </c>
      <c r="BA19" s="236">
        <v>12</v>
      </c>
      <c r="BB19" s="236">
        <v>12</v>
      </c>
      <c r="BC19" s="236">
        <v>92</v>
      </c>
      <c r="BD19" s="236">
        <v>86</v>
      </c>
      <c r="BE19" s="236">
        <v>86</v>
      </c>
      <c r="BF19" s="236">
        <v>15</v>
      </c>
      <c r="BG19" s="236">
        <v>0</v>
      </c>
      <c r="BH19" s="236">
        <v>0</v>
      </c>
      <c r="BI19" s="236">
        <v>0</v>
      </c>
      <c r="BJ19" s="236">
        <v>0</v>
      </c>
      <c r="BK19" s="236">
        <v>0</v>
      </c>
      <c r="BL19" s="236">
        <v>0</v>
      </c>
      <c r="BM19" s="236">
        <v>0</v>
      </c>
      <c r="BN19" s="236">
        <v>0</v>
      </c>
      <c r="BO19" s="236">
        <v>0</v>
      </c>
      <c r="BP19" s="236">
        <v>0</v>
      </c>
      <c r="BQ19" s="236">
        <v>0</v>
      </c>
      <c r="BR19" s="236">
        <v>0</v>
      </c>
      <c r="BS19" s="236">
        <v>0</v>
      </c>
      <c r="BT19" s="236">
        <v>0</v>
      </c>
      <c r="BU19" s="236">
        <v>0</v>
      </c>
      <c r="BV19" s="236">
        <v>0</v>
      </c>
      <c r="BW19" s="236">
        <v>0</v>
      </c>
      <c r="BX19" s="236">
        <v>0</v>
      </c>
      <c r="BY19" s="236">
        <v>0</v>
      </c>
      <c r="BZ19" s="236">
        <v>0</v>
      </c>
      <c r="CA19" s="236">
        <v>0</v>
      </c>
      <c r="CB19" s="236">
        <v>0</v>
      </c>
      <c r="CC19" s="236">
        <v>0</v>
      </c>
      <c r="CD19" s="236">
        <v>0</v>
      </c>
      <c r="CE19" s="236">
        <v>0</v>
      </c>
      <c r="CF19" s="236">
        <v>0</v>
      </c>
      <c r="CG19" s="236">
        <v>0</v>
      </c>
      <c r="CH19" s="236">
        <v>0</v>
      </c>
      <c r="CI19" s="236">
        <f t="shared" si="0"/>
        <v>38</v>
      </c>
      <c r="CJ19" s="236">
        <v>38</v>
      </c>
      <c r="CK19" s="236">
        <v>26</v>
      </c>
      <c r="CL19" s="236">
        <v>12</v>
      </c>
      <c r="CM19" s="236">
        <v>0</v>
      </c>
      <c r="CN19" s="236">
        <v>0</v>
      </c>
      <c r="CO19" s="236">
        <v>0</v>
      </c>
      <c r="CP19" s="236">
        <v>0</v>
      </c>
      <c r="CQ19" s="236">
        <v>0</v>
      </c>
      <c r="CR19" s="236">
        <v>0</v>
      </c>
      <c r="CS19" s="236">
        <v>0</v>
      </c>
      <c r="CT19" s="236">
        <v>33</v>
      </c>
      <c r="CU19" s="236">
        <v>33</v>
      </c>
      <c r="CV19" s="236">
        <v>33</v>
      </c>
      <c r="CX19" s="236">
        <f t="shared" si="1"/>
        <v>59</v>
      </c>
      <c r="CY19" s="236">
        <f t="shared" si="5"/>
        <v>53</v>
      </c>
      <c r="CZ19" s="236">
        <f t="shared" si="3"/>
        <v>53</v>
      </c>
    </row>
    <row r="20" ht="18" customHeight="1" spans="1:104">
      <c r="A20" s="235" t="s">
        <v>95</v>
      </c>
      <c r="B20" s="236">
        <v>0</v>
      </c>
      <c r="C20" s="236">
        <v>0</v>
      </c>
      <c r="D20" s="236">
        <v>1</v>
      </c>
      <c r="E20" s="236">
        <v>0</v>
      </c>
      <c r="F20" s="236">
        <v>0</v>
      </c>
      <c r="G20" s="236">
        <v>0</v>
      </c>
      <c r="H20" s="236">
        <v>0</v>
      </c>
      <c r="I20" s="236">
        <v>0</v>
      </c>
      <c r="J20" s="236">
        <v>0</v>
      </c>
      <c r="K20" s="236">
        <v>0</v>
      </c>
      <c r="L20" s="236">
        <v>0</v>
      </c>
      <c r="M20" s="236">
        <v>0</v>
      </c>
      <c r="N20" s="236">
        <v>0</v>
      </c>
      <c r="O20" s="236">
        <v>0</v>
      </c>
      <c r="P20" s="236">
        <v>0</v>
      </c>
      <c r="Q20" s="236">
        <v>0</v>
      </c>
      <c r="R20" s="236">
        <v>0</v>
      </c>
      <c r="S20" s="236">
        <v>0</v>
      </c>
      <c r="T20" s="236">
        <v>0</v>
      </c>
      <c r="U20" s="236">
        <v>729</v>
      </c>
      <c r="V20" s="236">
        <v>245</v>
      </c>
      <c r="W20" s="236">
        <v>22</v>
      </c>
      <c r="X20" s="236">
        <v>2</v>
      </c>
      <c r="Y20" s="236">
        <v>0</v>
      </c>
      <c r="Z20" s="236">
        <v>0</v>
      </c>
      <c r="AA20" s="236">
        <v>6</v>
      </c>
      <c r="AB20" s="236">
        <v>5</v>
      </c>
      <c r="AC20" s="236">
        <v>1</v>
      </c>
      <c r="AD20" s="236">
        <v>0</v>
      </c>
      <c r="AE20" s="236">
        <v>0</v>
      </c>
      <c r="AF20" s="236">
        <v>0</v>
      </c>
      <c r="AG20" s="236">
        <v>0</v>
      </c>
      <c r="AH20" s="236">
        <v>0</v>
      </c>
      <c r="AI20" s="236">
        <v>0</v>
      </c>
      <c r="AJ20" s="236">
        <v>0</v>
      </c>
      <c r="AK20" s="236">
        <v>0</v>
      </c>
      <c r="AL20" s="236">
        <v>0</v>
      </c>
      <c r="AM20" s="236">
        <v>0</v>
      </c>
      <c r="AN20" s="236">
        <v>0</v>
      </c>
      <c r="AO20" s="236">
        <v>0</v>
      </c>
      <c r="AP20" s="236">
        <v>0</v>
      </c>
      <c r="AQ20" s="236">
        <v>0</v>
      </c>
      <c r="AR20" s="236">
        <v>0</v>
      </c>
      <c r="AS20" s="236">
        <v>0</v>
      </c>
      <c r="AT20" s="236">
        <v>0</v>
      </c>
      <c r="AU20" s="236">
        <v>0</v>
      </c>
      <c r="AV20" s="236">
        <v>0</v>
      </c>
      <c r="AW20" s="236">
        <v>0</v>
      </c>
      <c r="AX20" s="236">
        <v>0</v>
      </c>
      <c r="AY20" s="236">
        <v>0</v>
      </c>
      <c r="AZ20" s="236">
        <v>12</v>
      </c>
      <c r="BA20" s="236">
        <v>12</v>
      </c>
      <c r="BB20" s="236">
        <v>12</v>
      </c>
      <c r="BC20" s="236">
        <v>92</v>
      </c>
      <c r="BD20" s="236">
        <v>61</v>
      </c>
      <c r="BE20" s="236">
        <v>61</v>
      </c>
      <c r="BF20" s="236">
        <v>40</v>
      </c>
      <c r="BG20" s="236">
        <v>0</v>
      </c>
      <c r="BH20" s="236">
        <v>0</v>
      </c>
      <c r="BI20" s="236">
        <v>0</v>
      </c>
      <c r="BJ20" s="236">
        <v>0</v>
      </c>
      <c r="BK20" s="236">
        <v>0</v>
      </c>
      <c r="BL20" s="236">
        <v>0</v>
      </c>
      <c r="BM20" s="236">
        <v>0</v>
      </c>
      <c r="BN20" s="236">
        <v>0</v>
      </c>
      <c r="BO20" s="236">
        <v>0</v>
      </c>
      <c r="BP20" s="236">
        <v>0</v>
      </c>
      <c r="BQ20" s="236">
        <v>0</v>
      </c>
      <c r="BR20" s="236">
        <v>0</v>
      </c>
      <c r="BS20" s="236">
        <v>0</v>
      </c>
      <c r="BT20" s="236">
        <v>0</v>
      </c>
      <c r="BU20" s="236">
        <v>0</v>
      </c>
      <c r="BV20" s="236">
        <v>0</v>
      </c>
      <c r="BW20" s="236">
        <v>0</v>
      </c>
      <c r="BX20" s="236">
        <v>0</v>
      </c>
      <c r="BY20" s="236">
        <v>0</v>
      </c>
      <c r="BZ20" s="236">
        <v>0</v>
      </c>
      <c r="CA20" s="236">
        <v>0</v>
      </c>
      <c r="CB20" s="236">
        <v>0</v>
      </c>
      <c r="CC20" s="236">
        <v>0</v>
      </c>
      <c r="CD20" s="236">
        <v>0</v>
      </c>
      <c r="CE20" s="236">
        <v>0</v>
      </c>
      <c r="CF20" s="236">
        <v>0</v>
      </c>
      <c r="CG20" s="236">
        <v>0</v>
      </c>
      <c r="CH20" s="236">
        <v>0</v>
      </c>
      <c r="CI20" s="236">
        <f t="shared" si="0"/>
        <v>6</v>
      </c>
      <c r="CJ20" s="236">
        <v>6</v>
      </c>
      <c r="CK20" s="236">
        <v>1</v>
      </c>
      <c r="CL20" s="236">
        <v>5</v>
      </c>
      <c r="CM20" s="236">
        <v>1</v>
      </c>
      <c r="CN20" s="236">
        <v>1</v>
      </c>
      <c r="CO20" s="236">
        <v>0</v>
      </c>
      <c r="CP20" s="236">
        <v>0</v>
      </c>
      <c r="CQ20" s="236">
        <v>0</v>
      </c>
      <c r="CR20" s="236">
        <v>0</v>
      </c>
      <c r="CS20" s="236">
        <v>0</v>
      </c>
      <c r="CT20" s="236">
        <v>33</v>
      </c>
      <c r="CU20" s="236">
        <v>20</v>
      </c>
      <c r="CV20" s="236">
        <v>20</v>
      </c>
      <c r="CX20" s="236">
        <f t="shared" si="1"/>
        <v>59</v>
      </c>
      <c r="CY20" s="236">
        <f t="shared" si="5"/>
        <v>41</v>
      </c>
      <c r="CZ20" s="236">
        <f t="shared" si="3"/>
        <v>41</v>
      </c>
    </row>
    <row r="21" ht="18" customHeight="1" spans="1:104">
      <c r="A21" s="235" t="s">
        <v>96</v>
      </c>
      <c r="B21" s="236">
        <v>0</v>
      </c>
      <c r="C21" s="236">
        <v>0</v>
      </c>
      <c r="D21" s="236">
        <v>0</v>
      </c>
      <c r="E21" s="236">
        <v>0</v>
      </c>
      <c r="F21" s="236">
        <v>0</v>
      </c>
      <c r="G21" s="236">
        <v>0</v>
      </c>
      <c r="H21" s="236">
        <v>0</v>
      </c>
      <c r="I21" s="236">
        <v>0</v>
      </c>
      <c r="J21" s="236">
        <v>1</v>
      </c>
      <c r="K21" s="236">
        <v>0</v>
      </c>
      <c r="L21" s="236">
        <v>2</v>
      </c>
      <c r="M21" s="236">
        <v>0</v>
      </c>
      <c r="N21" s="236">
        <v>0</v>
      </c>
      <c r="O21" s="236">
        <v>0</v>
      </c>
      <c r="P21" s="236">
        <v>0</v>
      </c>
      <c r="Q21" s="236">
        <v>0</v>
      </c>
      <c r="R21" s="236">
        <v>0</v>
      </c>
      <c r="S21" s="236">
        <v>0</v>
      </c>
      <c r="T21" s="236">
        <v>0</v>
      </c>
      <c r="U21" s="236">
        <v>749</v>
      </c>
      <c r="V21" s="236">
        <v>211</v>
      </c>
      <c r="W21" s="236">
        <v>43</v>
      </c>
      <c r="X21" s="236">
        <v>3</v>
      </c>
      <c r="Y21" s="236">
        <v>0</v>
      </c>
      <c r="Z21" s="236">
        <v>0</v>
      </c>
      <c r="AA21" s="236">
        <v>18</v>
      </c>
      <c r="AB21" s="236">
        <v>5</v>
      </c>
      <c r="AC21" s="236">
        <v>1</v>
      </c>
      <c r="AD21" s="236">
        <v>0</v>
      </c>
      <c r="AE21" s="236">
        <v>0</v>
      </c>
      <c r="AF21" s="236">
        <v>0</v>
      </c>
      <c r="AG21" s="236">
        <v>0</v>
      </c>
      <c r="AH21" s="236">
        <v>0</v>
      </c>
      <c r="AI21" s="236">
        <v>0</v>
      </c>
      <c r="AJ21" s="236">
        <v>0</v>
      </c>
      <c r="AK21" s="236">
        <v>0</v>
      </c>
      <c r="AL21" s="236">
        <v>0</v>
      </c>
      <c r="AM21" s="236">
        <v>0</v>
      </c>
      <c r="AN21" s="236">
        <v>0</v>
      </c>
      <c r="AO21" s="236">
        <v>0</v>
      </c>
      <c r="AP21" s="236">
        <v>0</v>
      </c>
      <c r="AQ21" s="236">
        <v>0</v>
      </c>
      <c r="AR21" s="236">
        <v>0</v>
      </c>
      <c r="AS21" s="236">
        <v>0</v>
      </c>
      <c r="AT21" s="236">
        <v>0</v>
      </c>
      <c r="AU21" s="236">
        <v>0</v>
      </c>
      <c r="AV21" s="236">
        <v>0</v>
      </c>
      <c r="AW21" s="236">
        <v>0</v>
      </c>
      <c r="AX21" s="236">
        <v>0</v>
      </c>
      <c r="AY21" s="236">
        <v>0</v>
      </c>
      <c r="AZ21" s="236">
        <v>12</v>
      </c>
      <c r="BA21" s="236">
        <v>12</v>
      </c>
      <c r="BB21" s="236">
        <v>12</v>
      </c>
      <c r="BC21" s="236">
        <v>92</v>
      </c>
      <c r="BD21" s="236">
        <v>83</v>
      </c>
      <c r="BE21" s="236">
        <v>83</v>
      </c>
      <c r="BF21" s="236">
        <v>19</v>
      </c>
      <c r="BG21" s="236">
        <v>0</v>
      </c>
      <c r="BH21" s="236">
        <v>0</v>
      </c>
      <c r="BI21" s="236">
        <v>0</v>
      </c>
      <c r="BJ21" s="236">
        <v>0</v>
      </c>
      <c r="BK21" s="236">
        <v>0</v>
      </c>
      <c r="BL21" s="236">
        <v>0</v>
      </c>
      <c r="BM21" s="236">
        <v>0</v>
      </c>
      <c r="BN21" s="236">
        <v>0</v>
      </c>
      <c r="BO21" s="236">
        <v>0</v>
      </c>
      <c r="BP21" s="236">
        <v>0</v>
      </c>
      <c r="BQ21" s="236">
        <v>0</v>
      </c>
      <c r="BR21" s="236">
        <v>0</v>
      </c>
      <c r="BS21" s="236">
        <v>0</v>
      </c>
      <c r="BT21" s="236">
        <v>0</v>
      </c>
      <c r="BU21" s="236">
        <v>0</v>
      </c>
      <c r="BV21" s="236">
        <v>0</v>
      </c>
      <c r="BW21" s="236">
        <v>0</v>
      </c>
      <c r="BX21" s="236">
        <v>0</v>
      </c>
      <c r="BY21" s="236">
        <v>0</v>
      </c>
      <c r="BZ21" s="236">
        <v>0</v>
      </c>
      <c r="CA21" s="236">
        <v>0</v>
      </c>
      <c r="CB21" s="236">
        <v>0</v>
      </c>
      <c r="CC21" s="236">
        <v>0</v>
      </c>
      <c r="CD21" s="236">
        <v>0</v>
      </c>
      <c r="CE21" s="236">
        <v>0</v>
      </c>
      <c r="CF21" s="236">
        <v>0</v>
      </c>
      <c r="CG21" s="236">
        <v>0</v>
      </c>
      <c r="CH21" s="236">
        <v>0</v>
      </c>
      <c r="CI21" s="236">
        <f t="shared" si="0"/>
        <v>18</v>
      </c>
      <c r="CJ21" s="236">
        <v>18</v>
      </c>
      <c r="CK21" s="236">
        <v>13</v>
      </c>
      <c r="CL21" s="236">
        <v>5</v>
      </c>
      <c r="CM21" s="236">
        <v>0</v>
      </c>
      <c r="CN21" s="236">
        <v>0</v>
      </c>
      <c r="CO21" s="236">
        <v>2</v>
      </c>
      <c r="CP21" s="236">
        <v>2</v>
      </c>
      <c r="CQ21" s="236">
        <v>2</v>
      </c>
      <c r="CR21" s="236">
        <v>1</v>
      </c>
      <c r="CS21" s="236">
        <v>1</v>
      </c>
      <c r="CT21" s="236">
        <v>33</v>
      </c>
      <c r="CU21" s="236">
        <v>29</v>
      </c>
      <c r="CV21" s="236">
        <v>29</v>
      </c>
      <c r="CX21" s="236">
        <f t="shared" si="1"/>
        <v>59</v>
      </c>
      <c r="CY21" s="236">
        <f t="shared" si="5"/>
        <v>54</v>
      </c>
      <c r="CZ21" s="236">
        <f t="shared" si="3"/>
        <v>54</v>
      </c>
    </row>
    <row r="22" ht="18" customHeight="1" spans="1:104">
      <c r="A22" s="235" t="s">
        <v>97</v>
      </c>
      <c r="B22" s="236">
        <v>0</v>
      </c>
      <c r="C22" s="236">
        <v>0</v>
      </c>
      <c r="D22" s="236">
        <v>0</v>
      </c>
      <c r="E22" s="236">
        <v>0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  <c r="M22" s="236">
        <v>0</v>
      </c>
      <c r="N22" s="236">
        <v>0</v>
      </c>
      <c r="O22" s="236">
        <v>0</v>
      </c>
      <c r="P22" s="236">
        <v>0</v>
      </c>
      <c r="Q22" s="236">
        <v>0</v>
      </c>
      <c r="R22" s="236">
        <v>0</v>
      </c>
      <c r="S22" s="236">
        <v>0</v>
      </c>
      <c r="T22" s="236">
        <v>0</v>
      </c>
      <c r="U22" s="236">
        <v>693</v>
      </c>
      <c r="V22" s="236">
        <v>185</v>
      </c>
      <c r="W22" s="236">
        <v>26</v>
      </c>
      <c r="X22" s="236">
        <v>3</v>
      </c>
      <c r="Y22" s="236">
        <v>0</v>
      </c>
      <c r="Z22" s="236">
        <v>0</v>
      </c>
      <c r="AA22" s="236">
        <v>17</v>
      </c>
      <c r="AB22" s="236">
        <v>4</v>
      </c>
      <c r="AC22" s="236">
        <v>2</v>
      </c>
      <c r="AD22" s="236">
        <v>0</v>
      </c>
      <c r="AE22" s="236">
        <v>0</v>
      </c>
      <c r="AF22" s="236">
        <v>0</v>
      </c>
      <c r="AG22" s="236">
        <v>0</v>
      </c>
      <c r="AH22" s="236">
        <v>0</v>
      </c>
      <c r="AI22" s="236">
        <v>0</v>
      </c>
      <c r="AJ22" s="236">
        <v>0</v>
      </c>
      <c r="AK22" s="236">
        <v>0</v>
      </c>
      <c r="AL22" s="236">
        <v>0</v>
      </c>
      <c r="AM22" s="236">
        <v>0</v>
      </c>
      <c r="AN22" s="236">
        <v>0</v>
      </c>
      <c r="AO22" s="236">
        <v>0</v>
      </c>
      <c r="AP22" s="236">
        <v>0</v>
      </c>
      <c r="AQ22" s="236">
        <v>0</v>
      </c>
      <c r="AR22" s="236">
        <v>0</v>
      </c>
      <c r="AS22" s="236">
        <v>0</v>
      </c>
      <c r="AT22" s="236">
        <v>0</v>
      </c>
      <c r="AU22" s="236">
        <v>0</v>
      </c>
      <c r="AV22" s="236">
        <v>0</v>
      </c>
      <c r="AW22" s="236">
        <v>0</v>
      </c>
      <c r="AX22" s="236">
        <v>0</v>
      </c>
      <c r="AY22" s="236">
        <v>0</v>
      </c>
      <c r="AZ22" s="236">
        <v>12</v>
      </c>
      <c r="BA22" s="236">
        <v>12</v>
      </c>
      <c r="BB22" s="236">
        <v>12</v>
      </c>
      <c r="BC22" s="236">
        <v>92</v>
      </c>
      <c r="BD22" s="236">
        <v>83</v>
      </c>
      <c r="BE22" s="236">
        <v>83</v>
      </c>
      <c r="BF22" s="236">
        <v>39</v>
      </c>
      <c r="BG22" s="236">
        <v>0</v>
      </c>
      <c r="BH22" s="236">
        <v>0</v>
      </c>
      <c r="BI22" s="236">
        <v>0</v>
      </c>
      <c r="BJ22" s="236">
        <v>0</v>
      </c>
      <c r="BK22" s="236">
        <v>0</v>
      </c>
      <c r="BL22" s="236">
        <v>0</v>
      </c>
      <c r="BM22" s="236">
        <v>0</v>
      </c>
      <c r="BN22" s="236">
        <v>0</v>
      </c>
      <c r="BO22" s="236">
        <v>0</v>
      </c>
      <c r="BP22" s="236">
        <v>0</v>
      </c>
      <c r="BQ22" s="236">
        <v>0</v>
      </c>
      <c r="BR22" s="236">
        <v>0</v>
      </c>
      <c r="BS22" s="236">
        <v>0</v>
      </c>
      <c r="BT22" s="236">
        <v>0</v>
      </c>
      <c r="BU22" s="236">
        <v>0</v>
      </c>
      <c r="BV22" s="236">
        <v>0</v>
      </c>
      <c r="BW22" s="236">
        <v>0</v>
      </c>
      <c r="BX22" s="236">
        <v>0</v>
      </c>
      <c r="BY22" s="236">
        <v>0</v>
      </c>
      <c r="BZ22" s="236">
        <v>0</v>
      </c>
      <c r="CA22" s="236">
        <v>0</v>
      </c>
      <c r="CB22" s="236">
        <v>0</v>
      </c>
      <c r="CC22" s="236">
        <v>0</v>
      </c>
      <c r="CD22" s="236">
        <v>0</v>
      </c>
      <c r="CE22" s="236">
        <v>0</v>
      </c>
      <c r="CF22" s="236">
        <v>0</v>
      </c>
      <c r="CG22" s="236">
        <v>0</v>
      </c>
      <c r="CH22" s="236">
        <v>0</v>
      </c>
      <c r="CI22" s="236">
        <f t="shared" si="0"/>
        <v>17</v>
      </c>
      <c r="CJ22" s="236">
        <v>17</v>
      </c>
      <c r="CK22" s="236">
        <v>13</v>
      </c>
      <c r="CL22" s="236">
        <v>4</v>
      </c>
      <c r="CM22" s="236">
        <v>0</v>
      </c>
      <c r="CN22" s="236">
        <v>0</v>
      </c>
      <c r="CO22" s="236">
        <v>0</v>
      </c>
      <c r="CP22" s="236">
        <v>0</v>
      </c>
      <c r="CQ22" s="236">
        <v>0</v>
      </c>
      <c r="CR22" s="236">
        <v>0</v>
      </c>
      <c r="CS22" s="236">
        <v>0</v>
      </c>
      <c r="CT22" s="236">
        <v>33</v>
      </c>
      <c r="CU22" s="236">
        <v>31</v>
      </c>
      <c r="CV22" s="236">
        <v>31</v>
      </c>
      <c r="CX22" s="236">
        <f t="shared" si="1"/>
        <v>59</v>
      </c>
      <c r="CY22" s="236">
        <f t="shared" si="5"/>
        <v>52</v>
      </c>
      <c r="CZ22" s="236">
        <f t="shared" si="3"/>
        <v>52</v>
      </c>
    </row>
    <row r="23" ht="18" customHeight="1" spans="1:104">
      <c r="A23" s="235" t="s">
        <v>98</v>
      </c>
      <c r="B23" s="236">
        <v>0</v>
      </c>
      <c r="C23" s="236">
        <v>0</v>
      </c>
      <c r="D23" s="236">
        <v>0</v>
      </c>
      <c r="E23" s="236">
        <v>0</v>
      </c>
      <c r="F23" s="236">
        <v>0</v>
      </c>
      <c r="G23" s="236">
        <v>0</v>
      </c>
      <c r="H23" s="236">
        <v>0</v>
      </c>
      <c r="I23" s="236">
        <v>0</v>
      </c>
      <c r="J23" s="236">
        <v>0</v>
      </c>
      <c r="K23" s="236">
        <v>0</v>
      </c>
      <c r="L23" s="236">
        <v>2</v>
      </c>
      <c r="M23" s="236">
        <v>0</v>
      </c>
      <c r="N23" s="236">
        <v>0</v>
      </c>
      <c r="O23" s="236">
        <v>0</v>
      </c>
      <c r="P23" s="236">
        <v>0</v>
      </c>
      <c r="Q23" s="236">
        <v>0</v>
      </c>
      <c r="R23" s="236">
        <v>0</v>
      </c>
      <c r="S23" s="236">
        <v>0</v>
      </c>
      <c r="T23" s="236">
        <v>0</v>
      </c>
      <c r="U23" s="236">
        <v>641</v>
      </c>
      <c r="V23" s="236">
        <v>188</v>
      </c>
      <c r="W23" s="236">
        <v>34</v>
      </c>
      <c r="X23" s="236">
        <v>3</v>
      </c>
      <c r="Y23" s="236">
        <v>0</v>
      </c>
      <c r="Z23" s="236">
        <v>0</v>
      </c>
      <c r="AA23" s="236">
        <v>20</v>
      </c>
      <c r="AB23" s="236">
        <v>8</v>
      </c>
      <c r="AC23" s="236">
        <v>1</v>
      </c>
      <c r="AD23" s="236">
        <v>0</v>
      </c>
      <c r="AE23" s="236">
        <v>0</v>
      </c>
      <c r="AF23" s="236">
        <v>0</v>
      </c>
      <c r="AG23" s="236">
        <v>0</v>
      </c>
      <c r="AH23" s="236">
        <v>0</v>
      </c>
      <c r="AI23" s="236">
        <v>0</v>
      </c>
      <c r="AJ23" s="236">
        <v>0</v>
      </c>
      <c r="AK23" s="236">
        <v>0</v>
      </c>
      <c r="AL23" s="236">
        <v>0</v>
      </c>
      <c r="AM23" s="236">
        <v>0</v>
      </c>
      <c r="AN23" s="236">
        <v>0</v>
      </c>
      <c r="AO23" s="236">
        <v>0</v>
      </c>
      <c r="AP23" s="236">
        <v>0</v>
      </c>
      <c r="AQ23" s="236">
        <v>0</v>
      </c>
      <c r="AR23" s="236">
        <v>0</v>
      </c>
      <c r="AS23" s="236">
        <v>0</v>
      </c>
      <c r="AT23" s="236">
        <v>0</v>
      </c>
      <c r="AU23" s="236">
        <v>0</v>
      </c>
      <c r="AV23" s="236">
        <v>0</v>
      </c>
      <c r="AW23" s="236">
        <v>0</v>
      </c>
      <c r="AX23" s="236">
        <v>0</v>
      </c>
      <c r="AY23" s="236">
        <v>0</v>
      </c>
      <c r="AZ23" s="236">
        <v>12</v>
      </c>
      <c r="BA23" s="236">
        <v>12</v>
      </c>
      <c r="BB23" s="236">
        <v>12</v>
      </c>
      <c r="BC23" s="236">
        <v>92</v>
      </c>
      <c r="BD23" s="236">
        <v>79</v>
      </c>
      <c r="BE23" s="236">
        <v>79</v>
      </c>
      <c r="BF23" s="236">
        <v>28</v>
      </c>
      <c r="BG23" s="236">
        <v>0</v>
      </c>
      <c r="BH23" s="236">
        <v>0</v>
      </c>
      <c r="BI23" s="236">
        <v>0</v>
      </c>
      <c r="BJ23" s="236">
        <v>0</v>
      </c>
      <c r="BK23" s="236">
        <v>0</v>
      </c>
      <c r="BL23" s="236">
        <v>0</v>
      </c>
      <c r="BM23" s="236">
        <v>0</v>
      </c>
      <c r="BN23" s="236">
        <v>0</v>
      </c>
      <c r="BO23" s="236">
        <v>0</v>
      </c>
      <c r="BP23" s="236">
        <v>0</v>
      </c>
      <c r="BQ23" s="236">
        <v>0</v>
      </c>
      <c r="BR23" s="236">
        <v>0</v>
      </c>
      <c r="BS23" s="236">
        <v>0</v>
      </c>
      <c r="BT23" s="236">
        <v>0</v>
      </c>
      <c r="BU23" s="236">
        <v>0</v>
      </c>
      <c r="BV23" s="236">
        <v>0</v>
      </c>
      <c r="BW23" s="236">
        <v>0</v>
      </c>
      <c r="BX23" s="236">
        <v>0</v>
      </c>
      <c r="BY23" s="236">
        <v>0</v>
      </c>
      <c r="BZ23" s="236">
        <v>0</v>
      </c>
      <c r="CA23" s="236">
        <v>0</v>
      </c>
      <c r="CB23" s="236">
        <v>0</v>
      </c>
      <c r="CC23" s="236">
        <v>0</v>
      </c>
      <c r="CD23" s="236">
        <v>0</v>
      </c>
      <c r="CE23" s="236">
        <v>0</v>
      </c>
      <c r="CF23" s="236">
        <v>0</v>
      </c>
      <c r="CG23" s="236">
        <v>0</v>
      </c>
      <c r="CH23" s="236">
        <v>0</v>
      </c>
      <c r="CI23" s="236">
        <f t="shared" si="0"/>
        <v>20</v>
      </c>
      <c r="CJ23" s="236">
        <v>20</v>
      </c>
      <c r="CK23" s="236">
        <v>12</v>
      </c>
      <c r="CL23" s="236">
        <v>8</v>
      </c>
      <c r="CM23" s="236">
        <v>0</v>
      </c>
      <c r="CN23" s="236">
        <v>0</v>
      </c>
      <c r="CO23" s="236">
        <v>2</v>
      </c>
      <c r="CP23" s="236">
        <v>2</v>
      </c>
      <c r="CQ23" s="236">
        <v>2</v>
      </c>
      <c r="CR23" s="236">
        <v>0</v>
      </c>
      <c r="CS23" s="236">
        <v>0</v>
      </c>
      <c r="CT23" s="236">
        <v>33</v>
      </c>
      <c r="CU23" s="236">
        <v>27</v>
      </c>
      <c r="CV23" s="236">
        <v>27</v>
      </c>
      <c r="CX23" s="236">
        <f t="shared" si="1"/>
        <v>59</v>
      </c>
      <c r="CY23" s="236">
        <f t="shared" si="5"/>
        <v>52</v>
      </c>
      <c r="CZ23" s="236">
        <f t="shared" si="3"/>
        <v>52</v>
      </c>
    </row>
    <row r="24" ht="18" customHeight="1" spans="1:104">
      <c r="A24" s="235" t="s">
        <v>99</v>
      </c>
      <c r="B24" s="236">
        <v>0</v>
      </c>
      <c r="C24" s="236">
        <v>0</v>
      </c>
      <c r="D24" s="236">
        <v>0</v>
      </c>
      <c r="E24" s="236">
        <v>0</v>
      </c>
      <c r="F24" s="236">
        <v>0</v>
      </c>
      <c r="G24" s="236">
        <v>0</v>
      </c>
      <c r="H24" s="236">
        <v>0</v>
      </c>
      <c r="I24" s="236">
        <v>0</v>
      </c>
      <c r="J24" s="236">
        <v>0</v>
      </c>
      <c r="K24" s="236">
        <v>0</v>
      </c>
      <c r="L24" s="236">
        <v>1</v>
      </c>
      <c r="M24" s="236">
        <v>0</v>
      </c>
      <c r="N24" s="236">
        <v>0</v>
      </c>
      <c r="O24" s="236">
        <v>0</v>
      </c>
      <c r="P24" s="236">
        <v>0</v>
      </c>
      <c r="Q24" s="236">
        <v>0</v>
      </c>
      <c r="R24" s="236">
        <v>0</v>
      </c>
      <c r="S24" s="236">
        <v>0</v>
      </c>
      <c r="T24" s="236">
        <v>0</v>
      </c>
      <c r="U24" s="236">
        <v>712</v>
      </c>
      <c r="V24" s="236">
        <v>213</v>
      </c>
      <c r="W24" s="236">
        <v>37</v>
      </c>
      <c r="X24" s="236">
        <v>3</v>
      </c>
      <c r="Y24" s="236">
        <v>0</v>
      </c>
      <c r="Z24" s="236">
        <v>0</v>
      </c>
      <c r="AA24" s="236">
        <v>35</v>
      </c>
      <c r="AB24" s="236">
        <v>13</v>
      </c>
      <c r="AC24" s="236">
        <v>3</v>
      </c>
      <c r="AD24" s="236">
        <v>0</v>
      </c>
      <c r="AE24" s="236">
        <v>0</v>
      </c>
      <c r="AF24" s="236">
        <v>0</v>
      </c>
      <c r="AG24" s="236">
        <v>0</v>
      </c>
      <c r="AH24" s="236">
        <v>0</v>
      </c>
      <c r="AI24" s="236">
        <v>0</v>
      </c>
      <c r="AJ24" s="236">
        <v>0</v>
      </c>
      <c r="AK24" s="236">
        <v>0</v>
      </c>
      <c r="AL24" s="236">
        <v>0</v>
      </c>
      <c r="AM24" s="236">
        <v>0</v>
      </c>
      <c r="AN24" s="236">
        <v>0</v>
      </c>
      <c r="AO24" s="236">
        <v>0</v>
      </c>
      <c r="AP24" s="236">
        <v>0</v>
      </c>
      <c r="AQ24" s="236">
        <v>0</v>
      </c>
      <c r="AR24" s="236">
        <v>0</v>
      </c>
      <c r="AS24" s="236">
        <v>0</v>
      </c>
      <c r="AT24" s="236">
        <v>0</v>
      </c>
      <c r="AU24" s="236">
        <v>0</v>
      </c>
      <c r="AV24" s="236">
        <v>0</v>
      </c>
      <c r="AW24" s="236">
        <v>0</v>
      </c>
      <c r="AX24" s="236">
        <v>0</v>
      </c>
      <c r="AY24" s="236">
        <v>0</v>
      </c>
      <c r="AZ24" s="236">
        <v>12</v>
      </c>
      <c r="BA24" s="236">
        <v>12</v>
      </c>
      <c r="BB24" s="236">
        <v>12</v>
      </c>
      <c r="BC24" s="236">
        <v>92</v>
      </c>
      <c r="BD24" s="236">
        <v>82</v>
      </c>
      <c r="BE24" s="236">
        <v>82</v>
      </c>
      <c r="BF24" s="236">
        <v>17</v>
      </c>
      <c r="BG24" s="236">
        <v>0</v>
      </c>
      <c r="BH24" s="236">
        <v>0</v>
      </c>
      <c r="BI24" s="236">
        <v>0</v>
      </c>
      <c r="BJ24" s="236">
        <v>0</v>
      </c>
      <c r="BK24" s="236">
        <v>0</v>
      </c>
      <c r="BL24" s="236">
        <v>0</v>
      </c>
      <c r="BM24" s="236">
        <v>0</v>
      </c>
      <c r="BN24" s="236">
        <v>0</v>
      </c>
      <c r="BO24" s="236">
        <v>0</v>
      </c>
      <c r="BP24" s="236">
        <v>0</v>
      </c>
      <c r="BQ24" s="236">
        <v>0</v>
      </c>
      <c r="BR24" s="236">
        <v>0</v>
      </c>
      <c r="BS24" s="236">
        <v>0</v>
      </c>
      <c r="BT24" s="236">
        <v>0</v>
      </c>
      <c r="BU24" s="236">
        <v>0</v>
      </c>
      <c r="BV24" s="236">
        <v>0</v>
      </c>
      <c r="BW24" s="236">
        <v>0</v>
      </c>
      <c r="BX24" s="236">
        <v>0</v>
      </c>
      <c r="BY24" s="236">
        <v>0</v>
      </c>
      <c r="BZ24" s="236">
        <v>0</v>
      </c>
      <c r="CA24" s="236">
        <v>0</v>
      </c>
      <c r="CB24" s="236">
        <v>0</v>
      </c>
      <c r="CC24" s="236">
        <v>0</v>
      </c>
      <c r="CD24" s="236">
        <v>0</v>
      </c>
      <c r="CE24" s="236">
        <v>0</v>
      </c>
      <c r="CF24" s="236">
        <v>0</v>
      </c>
      <c r="CG24" s="236">
        <v>0</v>
      </c>
      <c r="CH24" s="236">
        <v>0</v>
      </c>
      <c r="CI24" s="236">
        <f t="shared" si="0"/>
        <v>35</v>
      </c>
      <c r="CJ24" s="236">
        <v>35</v>
      </c>
      <c r="CK24" s="236">
        <v>22</v>
      </c>
      <c r="CL24" s="236">
        <v>13</v>
      </c>
      <c r="CM24" s="236">
        <v>0</v>
      </c>
      <c r="CN24" s="236">
        <v>0</v>
      </c>
      <c r="CO24" s="236">
        <v>1</v>
      </c>
      <c r="CP24" s="236">
        <v>1</v>
      </c>
      <c r="CQ24" s="236">
        <v>1</v>
      </c>
      <c r="CR24" s="236">
        <v>0</v>
      </c>
      <c r="CS24" s="236">
        <v>0</v>
      </c>
      <c r="CT24" s="236">
        <v>33</v>
      </c>
      <c r="CU24" s="236">
        <v>31</v>
      </c>
      <c r="CV24" s="236">
        <v>31</v>
      </c>
      <c r="CX24" s="236">
        <f t="shared" si="1"/>
        <v>59</v>
      </c>
      <c r="CY24" s="236">
        <f t="shared" si="5"/>
        <v>51</v>
      </c>
      <c r="CZ24" s="236">
        <f t="shared" si="3"/>
        <v>51</v>
      </c>
    </row>
    <row r="25" ht="18" customHeight="1" spans="1:104">
      <c r="A25" s="235" t="s">
        <v>100</v>
      </c>
      <c r="B25" s="236">
        <v>0</v>
      </c>
      <c r="C25" s="236">
        <v>0</v>
      </c>
      <c r="D25" s="236">
        <v>1</v>
      </c>
      <c r="E25" s="236">
        <v>0</v>
      </c>
      <c r="F25" s="236">
        <v>0</v>
      </c>
      <c r="G25" s="236">
        <v>0</v>
      </c>
      <c r="H25" s="236">
        <v>0</v>
      </c>
      <c r="I25" s="236">
        <v>0</v>
      </c>
      <c r="J25" s="236">
        <v>0</v>
      </c>
      <c r="K25" s="236">
        <v>0</v>
      </c>
      <c r="L25" s="236">
        <v>1</v>
      </c>
      <c r="M25" s="236">
        <v>0</v>
      </c>
      <c r="N25" s="236">
        <v>0</v>
      </c>
      <c r="O25" s="236">
        <v>0</v>
      </c>
      <c r="P25" s="236">
        <v>0</v>
      </c>
      <c r="Q25" s="236">
        <v>0</v>
      </c>
      <c r="R25" s="236">
        <v>0</v>
      </c>
      <c r="S25" s="236">
        <v>0</v>
      </c>
      <c r="T25" s="236">
        <v>0</v>
      </c>
      <c r="U25" s="236">
        <v>686</v>
      </c>
      <c r="V25" s="236">
        <v>177</v>
      </c>
      <c r="W25" s="236">
        <v>39</v>
      </c>
      <c r="X25" s="236">
        <v>5</v>
      </c>
      <c r="Y25" s="236">
        <v>0</v>
      </c>
      <c r="Z25" s="236">
        <v>0</v>
      </c>
      <c r="AA25" s="236">
        <v>19</v>
      </c>
      <c r="AB25" s="236">
        <v>11</v>
      </c>
      <c r="AC25" s="236">
        <v>1</v>
      </c>
      <c r="AD25" s="236">
        <v>0</v>
      </c>
      <c r="AE25" s="236">
        <v>0</v>
      </c>
      <c r="AF25" s="236">
        <v>0</v>
      </c>
      <c r="AG25" s="236">
        <v>1</v>
      </c>
      <c r="AH25" s="236">
        <v>0</v>
      </c>
      <c r="AI25" s="236">
        <v>0</v>
      </c>
      <c r="AJ25" s="236">
        <v>0</v>
      </c>
      <c r="AK25" s="236">
        <v>0</v>
      </c>
      <c r="AL25" s="236">
        <v>0</v>
      </c>
      <c r="AM25" s="236">
        <v>0</v>
      </c>
      <c r="AN25" s="236">
        <v>0</v>
      </c>
      <c r="AO25" s="236">
        <v>0</v>
      </c>
      <c r="AP25" s="236">
        <v>0</v>
      </c>
      <c r="AQ25" s="236">
        <v>0</v>
      </c>
      <c r="AR25" s="236">
        <v>0</v>
      </c>
      <c r="AS25" s="236">
        <v>0</v>
      </c>
      <c r="AT25" s="236">
        <v>0</v>
      </c>
      <c r="AU25" s="236">
        <v>0</v>
      </c>
      <c r="AV25" s="236">
        <v>0</v>
      </c>
      <c r="AW25" s="236">
        <v>0</v>
      </c>
      <c r="AX25" s="236">
        <v>0</v>
      </c>
      <c r="AY25" s="236">
        <v>0</v>
      </c>
      <c r="AZ25" s="236">
        <v>12</v>
      </c>
      <c r="BA25" s="236">
        <v>12</v>
      </c>
      <c r="BB25" s="236">
        <v>12</v>
      </c>
      <c r="BC25" s="236">
        <v>92</v>
      </c>
      <c r="BD25" s="236">
        <v>82</v>
      </c>
      <c r="BE25" s="236">
        <v>82</v>
      </c>
      <c r="BF25" s="236">
        <v>19</v>
      </c>
      <c r="BG25" s="236">
        <v>0</v>
      </c>
      <c r="BH25" s="236">
        <v>0</v>
      </c>
      <c r="BI25" s="236">
        <v>0</v>
      </c>
      <c r="BJ25" s="236">
        <v>0</v>
      </c>
      <c r="BK25" s="236">
        <v>0</v>
      </c>
      <c r="BL25" s="236">
        <v>0</v>
      </c>
      <c r="BM25" s="236">
        <v>0</v>
      </c>
      <c r="BN25" s="236">
        <v>0</v>
      </c>
      <c r="BO25" s="236">
        <v>0</v>
      </c>
      <c r="BP25" s="236">
        <v>0</v>
      </c>
      <c r="BQ25" s="236">
        <v>0</v>
      </c>
      <c r="BR25" s="236">
        <v>0</v>
      </c>
      <c r="BS25" s="236">
        <v>0</v>
      </c>
      <c r="BT25" s="236">
        <v>0</v>
      </c>
      <c r="BU25" s="236">
        <v>0</v>
      </c>
      <c r="BV25" s="236">
        <v>0</v>
      </c>
      <c r="BW25" s="236">
        <v>0</v>
      </c>
      <c r="BX25" s="236">
        <v>0</v>
      </c>
      <c r="BY25" s="236">
        <v>0</v>
      </c>
      <c r="BZ25" s="236">
        <v>0</v>
      </c>
      <c r="CA25" s="236">
        <v>0</v>
      </c>
      <c r="CB25" s="236">
        <v>0</v>
      </c>
      <c r="CC25" s="236">
        <v>0</v>
      </c>
      <c r="CD25" s="236">
        <v>0</v>
      </c>
      <c r="CE25" s="236">
        <v>0</v>
      </c>
      <c r="CF25" s="236">
        <v>0</v>
      </c>
      <c r="CG25" s="236">
        <v>0</v>
      </c>
      <c r="CH25" s="236">
        <v>0</v>
      </c>
      <c r="CI25" s="236">
        <f t="shared" si="0"/>
        <v>19</v>
      </c>
      <c r="CJ25" s="236">
        <v>19</v>
      </c>
      <c r="CK25" s="236">
        <v>8</v>
      </c>
      <c r="CL25" s="236">
        <v>11</v>
      </c>
      <c r="CM25" s="236">
        <v>1</v>
      </c>
      <c r="CN25" s="236">
        <v>1</v>
      </c>
      <c r="CO25" s="236">
        <v>1</v>
      </c>
      <c r="CP25" s="236">
        <v>1</v>
      </c>
      <c r="CQ25" s="236">
        <v>1</v>
      </c>
      <c r="CR25" s="236">
        <v>0</v>
      </c>
      <c r="CS25" s="236">
        <v>0</v>
      </c>
      <c r="CT25" s="236">
        <v>33</v>
      </c>
      <c r="CU25" s="236">
        <v>32</v>
      </c>
      <c r="CV25" s="236">
        <v>32</v>
      </c>
      <c r="CX25" s="236">
        <f t="shared" si="1"/>
        <v>59</v>
      </c>
      <c r="CY25" s="236">
        <f t="shared" si="5"/>
        <v>50</v>
      </c>
      <c r="CZ25" s="236">
        <f t="shared" si="3"/>
        <v>50</v>
      </c>
    </row>
    <row r="26" ht="18" customHeight="1" spans="1:104">
      <c r="A26" s="235" t="s">
        <v>101</v>
      </c>
      <c r="B26" s="236">
        <v>0</v>
      </c>
      <c r="C26" s="236">
        <v>0</v>
      </c>
      <c r="D26" s="236">
        <v>0</v>
      </c>
      <c r="E26" s="236">
        <v>0</v>
      </c>
      <c r="F26" s="236">
        <v>0</v>
      </c>
      <c r="G26" s="236">
        <v>0</v>
      </c>
      <c r="H26" s="236">
        <v>0</v>
      </c>
      <c r="I26" s="236">
        <v>0</v>
      </c>
      <c r="J26" s="236">
        <v>0</v>
      </c>
      <c r="K26" s="236">
        <v>0</v>
      </c>
      <c r="L26" s="236">
        <v>0</v>
      </c>
      <c r="M26" s="236">
        <v>0</v>
      </c>
      <c r="N26" s="236">
        <v>0</v>
      </c>
      <c r="O26" s="236">
        <v>0</v>
      </c>
      <c r="P26" s="236">
        <v>0</v>
      </c>
      <c r="Q26" s="236">
        <v>0</v>
      </c>
      <c r="R26" s="236">
        <v>0</v>
      </c>
      <c r="S26" s="236">
        <v>0</v>
      </c>
      <c r="T26" s="236">
        <v>0</v>
      </c>
      <c r="U26" s="236">
        <v>734</v>
      </c>
      <c r="V26" s="236">
        <v>206</v>
      </c>
      <c r="W26" s="236">
        <v>52</v>
      </c>
      <c r="X26" s="236">
        <v>2</v>
      </c>
      <c r="Y26" s="236">
        <v>0</v>
      </c>
      <c r="Z26" s="236">
        <v>0</v>
      </c>
      <c r="AA26" s="236">
        <v>22</v>
      </c>
      <c r="AB26" s="236">
        <v>13</v>
      </c>
      <c r="AC26" s="236">
        <v>3</v>
      </c>
      <c r="AD26" s="236">
        <v>0</v>
      </c>
      <c r="AE26" s="236">
        <v>0</v>
      </c>
      <c r="AF26" s="236">
        <v>0</v>
      </c>
      <c r="AG26" s="236">
        <v>0</v>
      </c>
      <c r="AH26" s="236">
        <v>0</v>
      </c>
      <c r="AI26" s="236">
        <v>0</v>
      </c>
      <c r="AJ26" s="236">
        <v>0</v>
      </c>
      <c r="AK26" s="236">
        <v>0</v>
      </c>
      <c r="AL26" s="236">
        <v>0</v>
      </c>
      <c r="AM26" s="236">
        <v>0</v>
      </c>
      <c r="AN26" s="236">
        <v>0</v>
      </c>
      <c r="AO26" s="236">
        <v>0</v>
      </c>
      <c r="AP26" s="236">
        <v>0</v>
      </c>
      <c r="AQ26" s="236">
        <v>0</v>
      </c>
      <c r="AR26" s="236">
        <v>0</v>
      </c>
      <c r="AS26" s="236">
        <v>0</v>
      </c>
      <c r="AT26" s="236">
        <v>0</v>
      </c>
      <c r="AU26" s="236">
        <v>0</v>
      </c>
      <c r="AV26" s="236">
        <v>0</v>
      </c>
      <c r="AW26" s="236">
        <v>0</v>
      </c>
      <c r="AX26" s="236">
        <v>0</v>
      </c>
      <c r="AY26" s="236">
        <v>0</v>
      </c>
      <c r="AZ26" s="236">
        <v>12</v>
      </c>
      <c r="BA26" s="236">
        <v>12</v>
      </c>
      <c r="BB26" s="236">
        <v>12</v>
      </c>
      <c r="BC26" s="236">
        <v>92</v>
      </c>
      <c r="BD26" s="236">
        <v>87</v>
      </c>
      <c r="BE26" s="236">
        <v>87</v>
      </c>
      <c r="BF26" s="236">
        <v>28</v>
      </c>
      <c r="BG26" s="236">
        <v>0</v>
      </c>
      <c r="BH26" s="236">
        <v>0</v>
      </c>
      <c r="BI26" s="236">
        <v>0</v>
      </c>
      <c r="BJ26" s="236">
        <v>0</v>
      </c>
      <c r="BK26" s="236">
        <v>0</v>
      </c>
      <c r="BL26" s="236">
        <v>0</v>
      </c>
      <c r="BM26" s="236">
        <v>0</v>
      </c>
      <c r="BN26" s="236">
        <v>0</v>
      </c>
      <c r="BO26" s="236">
        <v>0</v>
      </c>
      <c r="BP26" s="236">
        <v>0</v>
      </c>
      <c r="BQ26" s="236">
        <v>0</v>
      </c>
      <c r="BR26" s="236">
        <v>0</v>
      </c>
      <c r="BS26" s="236">
        <v>0</v>
      </c>
      <c r="BT26" s="236">
        <v>0</v>
      </c>
      <c r="BU26" s="236">
        <v>0</v>
      </c>
      <c r="BV26" s="236">
        <v>0</v>
      </c>
      <c r="BW26" s="236">
        <v>0</v>
      </c>
      <c r="BX26" s="236">
        <v>0</v>
      </c>
      <c r="BY26" s="236">
        <v>0</v>
      </c>
      <c r="BZ26" s="236">
        <v>0</v>
      </c>
      <c r="CA26" s="236">
        <v>0</v>
      </c>
      <c r="CB26" s="236">
        <v>0</v>
      </c>
      <c r="CC26" s="236">
        <v>0</v>
      </c>
      <c r="CD26" s="236">
        <v>0</v>
      </c>
      <c r="CE26" s="236">
        <v>0</v>
      </c>
      <c r="CF26" s="236">
        <v>0</v>
      </c>
      <c r="CG26" s="236">
        <v>0</v>
      </c>
      <c r="CH26" s="236">
        <v>0</v>
      </c>
      <c r="CI26" s="236">
        <f t="shared" si="0"/>
        <v>22</v>
      </c>
      <c r="CJ26" s="236">
        <v>22</v>
      </c>
      <c r="CK26" s="236">
        <v>9</v>
      </c>
      <c r="CL26" s="236">
        <v>13</v>
      </c>
      <c r="CM26" s="236">
        <v>0</v>
      </c>
      <c r="CN26" s="236">
        <v>0</v>
      </c>
      <c r="CO26" s="236">
        <v>0</v>
      </c>
      <c r="CP26" s="236">
        <v>0</v>
      </c>
      <c r="CQ26" s="236">
        <v>0</v>
      </c>
      <c r="CR26" s="236">
        <v>0</v>
      </c>
      <c r="CS26" s="236">
        <v>0</v>
      </c>
      <c r="CT26" s="236">
        <v>33</v>
      </c>
      <c r="CU26" s="236">
        <v>31</v>
      </c>
      <c r="CV26" s="236">
        <v>31</v>
      </c>
      <c r="CX26" s="236">
        <f t="shared" si="1"/>
        <v>59</v>
      </c>
      <c r="CY26" s="236">
        <f t="shared" si="5"/>
        <v>56</v>
      </c>
      <c r="CZ26" s="236">
        <f t="shared" si="3"/>
        <v>56</v>
      </c>
    </row>
    <row r="27" ht="18" customHeight="1" spans="1:104">
      <c r="A27" s="235" t="s">
        <v>102</v>
      </c>
      <c r="B27" s="236">
        <v>0</v>
      </c>
      <c r="C27" s="236">
        <v>0</v>
      </c>
      <c r="D27" s="236">
        <v>0</v>
      </c>
      <c r="E27" s="236">
        <v>0</v>
      </c>
      <c r="F27" s="236">
        <v>1</v>
      </c>
      <c r="G27" s="236">
        <v>0</v>
      </c>
      <c r="H27" s="236">
        <v>0</v>
      </c>
      <c r="I27" s="236">
        <v>0</v>
      </c>
      <c r="J27" s="236">
        <v>0</v>
      </c>
      <c r="K27" s="236">
        <v>0</v>
      </c>
      <c r="L27" s="236">
        <v>1</v>
      </c>
      <c r="M27" s="236">
        <v>0</v>
      </c>
      <c r="N27" s="236">
        <v>0</v>
      </c>
      <c r="O27" s="236">
        <v>0</v>
      </c>
      <c r="P27" s="236">
        <v>0</v>
      </c>
      <c r="Q27" s="236">
        <v>0</v>
      </c>
      <c r="R27" s="236">
        <v>0</v>
      </c>
      <c r="S27" s="236">
        <v>0</v>
      </c>
      <c r="T27" s="236">
        <v>0</v>
      </c>
      <c r="U27" s="236">
        <v>726</v>
      </c>
      <c r="V27" s="236">
        <v>172</v>
      </c>
      <c r="W27" s="236">
        <v>36</v>
      </c>
      <c r="X27" s="236">
        <v>3</v>
      </c>
      <c r="Y27" s="236">
        <v>0</v>
      </c>
      <c r="Z27" s="236">
        <v>0</v>
      </c>
      <c r="AA27" s="236">
        <v>16</v>
      </c>
      <c r="AB27" s="236">
        <v>8</v>
      </c>
      <c r="AC27" s="236">
        <v>1</v>
      </c>
      <c r="AD27" s="236">
        <v>0</v>
      </c>
      <c r="AE27" s="236">
        <v>0</v>
      </c>
      <c r="AF27" s="236">
        <v>0</v>
      </c>
      <c r="AG27" s="236">
        <v>0</v>
      </c>
      <c r="AH27" s="236">
        <v>0</v>
      </c>
      <c r="AI27" s="236">
        <v>1</v>
      </c>
      <c r="AJ27" s="236">
        <v>0</v>
      </c>
      <c r="AK27" s="236">
        <v>0</v>
      </c>
      <c r="AL27" s="236">
        <v>0</v>
      </c>
      <c r="AM27" s="236">
        <v>0</v>
      </c>
      <c r="AN27" s="236">
        <v>0</v>
      </c>
      <c r="AO27" s="236">
        <v>0</v>
      </c>
      <c r="AP27" s="236">
        <v>0</v>
      </c>
      <c r="AQ27" s="236">
        <v>0</v>
      </c>
      <c r="AR27" s="236">
        <v>0</v>
      </c>
      <c r="AS27" s="236">
        <v>0</v>
      </c>
      <c r="AT27" s="236">
        <v>0</v>
      </c>
      <c r="AU27" s="236">
        <v>0</v>
      </c>
      <c r="AV27" s="236">
        <v>0</v>
      </c>
      <c r="AW27" s="236">
        <v>0</v>
      </c>
      <c r="AX27" s="236">
        <v>0</v>
      </c>
      <c r="AY27" s="236">
        <v>0</v>
      </c>
      <c r="AZ27" s="236">
        <v>12</v>
      </c>
      <c r="BA27" s="236">
        <v>12</v>
      </c>
      <c r="BB27" s="236">
        <v>12</v>
      </c>
      <c r="BC27" s="236">
        <v>92</v>
      </c>
      <c r="BD27" s="236">
        <v>80</v>
      </c>
      <c r="BE27" s="236">
        <v>80</v>
      </c>
      <c r="BF27" s="236">
        <v>27</v>
      </c>
      <c r="BG27" s="236">
        <v>0</v>
      </c>
      <c r="BH27" s="236">
        <v>0</v>
      </c>
      <c r="BI27" s="236">
        <v>0</v>
      </c>
      <c r="BJ27" s="236">
        <v>0</v>
      </c>
      <c r="BK27" s="236">
        <v>0</v>
      </c>
      <c r="BL27" s="236">
        <v>0</v>
      </c>
      <c r="BM27" s="236">
        <v>0</v>
      </c>
      <c r="BN27" s="236">
        <v>0</v>
      </c>
      <c r="BO27" s="236">
        <v>0</v>
      </c>
      <c r="BP27" s="236">
        <v>0</v>
      </c>
      <c r="BQ27" s="236">
        <v>0</v>
      </c>
      <c r="BR27" s="236">
        <v>0</v>
      </c>
      <c r="BS27" s="236">
        <v>0</v>
      </c>
      <c r="BT27" s="236">
        <v>0</v>
      </c>
      <c r="BU27" s="236">
        <v>0</v>
      </c>
      <c r="BV27" s="236">
        <v>0</v>
      </c>
      <c r="BW27" s="236">
        <v>0</v>
      </c>
      <c r="BX27" s="236">
        <v>0</v>
      </c>
      <c r="BY27" s="236">
        <v>0</v>
      </c>
      <c r="BZ27" s="236">
        <v>0</v>
      </c>
      <c r="CA27" s="236">
        <v>0</v>
      </c>
      <c r="CB27" s="236">
        <v>0</v>
      </c>
      <c r="CC27" s="236">
        <v>0</v>
      </c>
      <c r="CD27" s="236">
        <v>0</v>
      </c>
      <c r="CE27" s="236">
        <v>0</v>
      </c>
      <c r="CF27" s="236">
        <v>0</v>
      </c>
      <c r="CG27" s="236">
        <v>0</v>
      </c>
      <c r="CH27" s="236">
        <v>0</v>
      </c>
      <c r="CI27" s="236">
        <f t="shared" si="0"/>
        <v>16</v>
      </c>
      <c r="CJ27" s="236">
        <v>16</v>
      </c>
      <c r="CK27" s="236">
        <v>8</v>
      </c>
      <c r="CL27" s="236">
        <v>8</v>
      </c>
      <c r="CM27" s="236">
        <v>0</v>
      </c>
      <c r="CN27" s="236">
        <v>0</v>
      </c>
      <c r="CO27" s="236">
        <v>1</v>
      </c>
      <c r="CP27" s="236">
        <v>1</v>
      </c>
      <c r="CQ27" s="236">
        <v>1</v>
      </c>
      <c r="CR27" s="236">
        <v>0</v>
      </c>
      <c r="CS27" s="236">
        <v>0</v>
      </c>
      <c r="CT27" s="236">
        <v>33</v>
      </c>
      <c r="CU27" s="236">
        <v>28</v>
      </c>
      <c r="CV27" s="236">
        <v>28</v>
      </c>
      <c r="CX27" s="236">
        <f t="shared" si="1"/>
        <v>59</v>
      </c>
      <c r="CY27" s="236">
        <f t="shared" si="5"/>
        <v>52</v>
      </c>
      <c r="CZ27" s="236">
        <f t="shared" si="3"/>
        <v>52</v>
      </c>
    </row>
    <row r="28" ht="18" customHeight="1" spans="1:104">
      <c r="A28" s="235" t="s">
        <v>103</v>
      </c>
      <c r="B28" s="236">
        <v>0</v>
      </c>
      <c r="C28" s="236">
        <v>0</v>
      </c>
      <c r="D28" s="236">
        <v>0</v>
      </c>
      <c r="E28" s="236">
        <v>0</v>
      </c>
      <c r="F28" s="236">
        <v>0</v>
      </c>
      <c r="G28" s="236">
        <v>0</v>
      </c>
      <c r="H28" s="236">
        <v>0</v>
      </c>
      <c r="I28" s="236">
        <v>0</v>
      </c>
      <c r="J28" s="236">
        <v>0</v>
      </c>
      <c r="K28" s="236">
        <v>0</v>
      </c>
      <c r="L28" s="236">
        <v>2</v>
      </c>
      <c r="M28" s="236">
        <v>0</v>
      </c>
      <c r="N28" s="236">
        <v>0</v>
      </c>
      <c r="O28" s="236">
        <v>0</v>
      </c>
      <c r="P28" s="236">
        <v>0</v>
      </c>
      <c r="Q28" s="236">
        <v>0</v>
      </c>
      <c r="R28" s="236">
        <v>0</v>
      </c>
      <c r="S28" s="236">
        <v>0</v>
      </c>
      <c r="T28" s="236">
        <v>0</v>
      </c>
      <c r="U28" s="236">
        <v>1100</v>
      </c>
      <c r="V28" s="236">
        <v>269</v>
      </c>
      <c r="W28" s="236">
        <v>57</v>
      </c>
      <c r="X28" s="236">
        <v>5</v>
      </c>
      <c r="Y28" s="236">
        <v>0</v>
      </c>
      <c r="Z28" s="236">
        <v>0</v>
      </c>
      <c r="AA28" s="236">
        <v>29</v>
      </c>
      <c r="AB28" s="236">
        <v>9</v>
      </c>
      <c r="AC28" s="236">
        <v>3</v>
      </c>
      <c r="AD28" s="236">
        <v>0</v>
      </c>
      <c r="AE28" s="236">
        <v>0</v>
      </c>
      <c r="AF28" s="236">
        <v>0</v>
      </c>
      <c r="AG28" s="236">
        <v>0</v>
      </c>
      <c r="AH28" s="236">
        <v>0</v>
      </c>
      <c r="AI28" s="236">
        <v>0</v>
      </c>
      <c r="AJ28" s="236">
        <v>0</v>
      </c>
      <c r="AK28" s="236">
        <v>0</v>
      </c>
      <c r="AL28" s="236">
        <v>0</v>
      </c>
      <c r="AM28" s="236">
        <v>0</v>
      </c>
      <c r="AN28" s="236">
        <v>0</v>
      </c>
      <c r="AO28" s="236">
        <v>0</v>
      </c>
      <c r="AP28" s="236">
        <v>0</v>
      </c>
      <c r="AQ28" s="236">
        <v>0</v>
      </c>
      <c r="AR28" s="236">
        <v>0</v>
      </c>
      <c r="AS28" s="236">
        <v>0</v>
      </c>
      <c r="AT28" s="236">
        <v>0</v>
      </c>
      <c r="AU28" s="236">
        <v>0</v>
      </c>
      <c r="AV28" s="236">
        <v>0</v>
      </c>
      <c r="AW28" s="236">
        <v>0</v>
      </c>
      <c r="AX28" s="236">
        <v>0</v>
      </c>
      <c r="AY28" s="236">
        <v>0</v>
      </c>
      <c r="AZ28" s="236">
        <v>12</v>
      </c>
      <c r="BA28" s="236">
        <v>12</v>
      </c>
      <c r="BB28" s="236">
        <v>12</v>
      </c>
      <c r="BC28" s="236">
        <v>92</v>
      </c>
      <c r="BD28" s="236">
        <v>88</v>
      </c>
      <c r="BE28" s="236">
        <v>88</v>
      </c>
      <c r="BF28" s="236">
        <v>25</v>
      </c>
      <c r="BG28" s="236">
        <v>0</v>
      </c>
      <c r="BH28" s="236">
        <v>0</v>
      </c>
      <c r="BI28" s="236">
        <v>0</v>
      </c>
      <c r="BJ28" s="236">
        <v>0</v>
      </c>
      <c r="BK28" s="236">
        <v>0</v>
      </c>
      <c r="BL28" s="236">
        <v>0</v>
      </c>
      <c r="BM28" s="236">
        <v>0</v>
      </c>
      <c r="BN28" s="236">
        <v>0</v>
      </c>
      <c r="BO28" s="236">
        <v>0</v>
      </c>
      <c r="BP28" s="236">
        <v>0</v>
      </c>
      <c r="BQ28" s="236">
        <v>0</v>
      </c>
      <c r="BR28" s="236">
        <v>0</v>
      </c>
      <c r="BS28" s="236">
        <v>0</v>
      </c>
      <c r="BT28" s="236">
        <v>0</v>
      </c>
      <c r="BU28" s="236">
        <v>0</v>
      </c>
      <c r="BV28" s="236">
        <v>0</v>
      </c>
      <c r="BW28" s="236">
        <v>0</v>
      </c>
      <c r="BX28" s="236">
        <v>0</v>
      </c>
      <c r="BY28" s="236">
        <v>0</v>
      </c>
      <c r="BZ28" s="236">
        <v>0</v>
      </c>
      <c r="CA28" s="236">
        <v>0</v>
      </c>
      <c r="CB28" s="236">
        <v>0</v>
      </c>
      <c r="CC28" s="236">
        <v>0</v>
      </c>
      <c r="CD28" s="236">
        <v>0</v>
      </c>
      <c r="CE28" s="236">
        <v>0</v>
      </c>
      <c r="CF28" s="236">
        <v>0</v>
      </c>
      <c r="CG28" s="236">
        <v>0</v>
      </c>
      <c r="CH28" s="236">
        <v>0</v>
      </c>
      <c r="CI28" s="236">
        <f t="shared" si="0"/>
        <v>29</v>
      </c>
      <c r="CJ28" s="236">
        <v>29</v>
      </c>
      <c r="CK28" s="236">
        <v>20</v>
      </c>
      <c r="CL28" s="236">
        <v>9</v>
      </c>
      <c r="CM28" s="236">
        <v>0</v>
      </c>
      <c r="CN28" s="236">
        <v>0</v>
      </c>
      <c r="CO28" s="236">
        <v>2</v>
      </c>
      <c r="CP28" s="236">
        <v>2</v>
      </c>
      <c r="CQ28" s="236">
        <v>2</v>
      </c>
      <c r="CR28" s="236">
        <v>0</v>
      </c>
      <c r="CS28" s="236">
        <v>0</v>
      </c>
      <c r="CT28" s="236">
        <v>33</v>
      </c>
      <c r="CU28" s="236">
        <v>32</v>
      </c>
      <c r="CV28" s="236">
        <v>32</v>
      </c>
      <c r="CX28" s="236">
        <f t="shared" si="1"/>
        <v>59</v>
      </c>
      <c r="CY28" s="236">
        <f t="shared" si="5"/>
        <v>56</v>
      </c>
      <c r="CZ28" s="236">
        <f t="shared" si="3"/>
        <v>56</v>
      </c>
    </row>
    <row r="29" ht="18" customHeight="1" spans="1:104">
      <c r="A29" s="235" t="s">
        <v>104</v>
      </c>
      <c r="B29" s="236">
        <v>0</v>
      </c>
      <c r="C29" s="236">
        <v>0</v>
      </c>
      <c r="D29" s="236">
        <v>0</v>
      </c>
      <c r="E29" s="236">
        <v>0</v>
      </c>
      <c r="F29" s="236">
        <v>0</v>
      </c>
      <c r="G29" s="236">
        <v>0</v>
      </c>
      <c r="H29" s="236">
        <v>0</v>
      </c>
      <c r="I29" s="236">
        <v>0</v>
      </c>
      <c r="J29" s="236">
        <v>0</v>
      </c>
      <c r="K29" s="236">
        <v>0</v>
      </c>
      <c r="L29" s="236">
        <v>1</v>
      </c>
      <c r="M29" s="236">
        <v>0</v>
      </c>
      <c r="N29" s="236">
        <v>0</v>
      </c>
      <c r="O29" s="236">
        <v>0</v>
      </c>
      <c r="P29" s="236">
        <v>0</v>
      </c>
      <c r="Q29" s="236">
        <v>0</v>
      </c>
      <c r="R29" s="236">
        <v>0</v>
      </c>
      <c r="S29" s="236">
        <v>0</v>
      </c>
      <c r="T29" s="236">
        <v>0</v>
      </c>
      <c r="U29" s="236">
        <v>1132</v>
      </c>
      <c r="V29" s="236">
        <v>258</v>
      </c>
      <c r="W29" s="236">
        <v>57</v>
      </c>
      <c r="X29" s="236">
        <v>7</v>
      </c>
      <c r="Y29" s="236">
        <v>0</v>
      </c>
      <c r="Z29" s="236">
        <v>0</v>
      </c>
      <c r="AA29" s="236">
        <v>32</v>
      </c>
      <c r="AB29" s="236">
        <v>10</v>
      </c>
      <c r="AC29" s="236">
        <v>2</v>
      </c>
      <c r="AD29" s="236">
        <v>0</v>
      </c>
      <c r="AE29" s="236">
        <v>0</v>
      </c>
      <c r="AF29" s="236">
        <v>0</v>
      </c>
      <c r="AG29" s="236">
        <v>0</v>
      </c>
      <c r="AH29" s="236">
        <v>0</v>
      </c>
      <c r="AI29" s="236">
        <v>0</v>
      </c>
      <c r="AJ29" s="236">
        <v>0</v>
      </c>
      <c r="AK29" s="236">
        <v>0</v>
      </c>
      <c r="AL29" s="236">
        <v>0</v>
      </c>
      <c r="AM29" s="236">
        <v>0</v>
      </c>
      <c r="AN29" s="236">
        <v>0</v>
      </c>
      <c r="AO29" s="236">
        <v>0</v>
      </c>
      <c r="AP29" s="236">
        <v>0</v>
      </c>
      <c r="AQ29" s="236">
        <v>0</v>
      </c>
      <c r="AR29" s="236">
        <v>0</v>
      </c>
      <c r="AS29" s="236">
        <v>0</v>
      </c>
      <c r="AT29" s="236">
        <v>0</v>
      </c>
      <c r="AU29" s="236">
        <v>0</v>
      </c>
      <c r="AV29" s="236">
        <v>0</v>
      </c>
      <c r="AW29" s="236">
        <v>0</v>
      </c>
      <c r="AX29" s="236">
        <v>0</v>
      </c>
      <c r="AY29" s="236">
        <v>0</v>
      </c>
      <c r="AZ29" s="236">
        <v>12</v>
      </c>
      <c r="BA29" s="236">
        <v>12</v>
      </c>
      <c r="BB29" s="236">
        <v>12</v>
      </c>
      <c r="BC29" s="236">
        <v>92</v>
      </c>
      <c r="BD29" s="236">
        <v>90</v>
      </c>
      <c r="BE29" s="236">
        <v>90</v>
      </c>
      <c r="BF29" s="236">
        <v>25</v>
      </c>
      <c r="BG29" s="236">
        <v>0</v>
      </c>
      <c r="BH29" s="236">
        <v>0</v>
      </c>
      <c r="BI29" s="236">
        <v>0</v>
      </c>
      <c r="BJ29" s="236">
        <v>0</v>
      </c>
      <c r="BK29" s="236">
        <v>0</v>
      </c>
      <c r="BL29" s="236">
        <v>0</v>
      </c>
      <c r="BM29" s="236">
        <v>0</v>
      </c>
      <c r="BN29" s="236">
        <v>0</v>
      </c>
      <c r="BO29" s="236">
        <v>0</v>
      </c>
      <c r="BP29" s="236">
        <v>0</v>
      </c>
      <c r="BQ29" s="236">
        <v>0</v>
      </c>
      <c r="BR29" s="236">
        <v>0</v>
      </c>
      <c r="BS29" s="236">
        <v>0</v>
      </c>
      <c r="BT29" s="236">
        <v>0</v>
      </c>
      <c r="BU29" s="236">
        <v>0</v>
      </c>
      <c r="BV29" s="236">
        <v>0</v>
      </c>
      <c r="BW29" s="236">
        <v>0</v>
      </c>
      <c r="BX29" s="236">
        <v>0</v>
      </c>
      <c r="BY29" s="236">
        <v>0</v>
      </c>
      <c r="BZ29" s="236">
        <v>0</v>
      </c>
      <c r="CA29" s="236">
        <v>0</v>
      </c>
      <c r="CB29" s="236">
        <v>0</v>
      </c>
      <c r="CC29" s="236">
        <v>0</v>
      </c>
      <c r="CD29" s="236">
        <v>0</v>
      </c>
      <c r="CE29" s="236">
        <v>0</v>
      </c>
      <c r="CF29" s="236">
        <v>0</v>
      </c>
      <c r="CG29" s="236">
        <v>0</v>
      </c>
      <c r="CH29" s="236">
        <v>0</v>
      </c>
      <c r="CI29" s="236">
        <f t="shared" si="0"/>
        <v>32</v>
      </c>
      <c r="CJ29" s="236">
        <v>32</v>
      </c>
      <c r="CK29" s="236">
        <v>22</v>
      </c>
      <c r="CL29" s="236">
        <v>10</v>
      </c>
      <c r="CM29" s="236">
        <v>0</v>
      </c>
      <c r="CN29" s="236">
        <v>0</v>
      </c>
      <c r="CO29" s="236">
        <v>1</v>
      </c>
      <c r="CP29" s="236">
        <v>1</v>
      </c>
      <c r="CQ29" s="236">
        <v>1</v>
      </c>
      <c r="CR29" s="236">
        <v>0</v>
      </c>
      <c r="CS29" s="236">
        <v>0</v>
      </c>
      <c r="CT29" s="236">
        <v>33</v>
      </c>
      <c r="CU29" s="236">
        <v>32</v>
      </c>
      <c r="CV29" s="236">
        <v>32</v>
      </c>
      <c r="CX29" s="236">
        <f t="shared" si="1"/>
        <v>59</v>
      </c>
      <c r="CY29" s="236">
        <f t="shared" si="5"/>
        <v>58</v>
      </c>
      <c r="CZ29" s="236">
        <f t="shared" si="3"/>
        <v>58</v>
      </c>
    </row>
    <row r="30" ht="18" customHeight="1" spans="1:104">
      <c r="A30" s="235" t="s">
        <v>105</v>
      </c>
      <c r="B30" s="236">
        <v>0</v>
      </c>
      <c r="C30" s="236">
        <v>0</v>
      </c>
      <c r="D30" s="236">
        <v>0</v>
      </c>
      <c r="E30" s="236">
        <v>0</v>
      </c>
      <c r="F30" s="236">
        <v>0</v>
      </c>
      <c r="G30" s="236">
        <v>0</v>
      </c>
      <c r="H30" s="236">
        <v>0</v>
      </c>
      <c r="I30" s="236">
        <v>0</v>
      </c>
      <c r="J30" s="236">
        <v>0</v>
      </c>
      <c r="K30" s="236">
        <v>0</v>
      </c>
      <c r="L30" s="236">
        <v>1</v>
      </c>
      <c r="M30" s="236">
        <v>0</v>
      </c>
      <c r="N30" s="236">
        <v>0</v>
      </c>
      <c r="O30" s="236">
        <v>0</v>
      </c>
      <c r="P30" s="236">
        <v>0</v>
      </c>
      <c r="Q30" s="236">
        <v>0</v>
      </c>
      <c r="R30" s="236">
        <v>0</v>
      </c>
      <c r="S30" s="236">
        <v>0</v>
      </c>
      <c r="T30" s="236">
        <v>0</v>
      </c>
      <c r="U30" s="236">
        <v>1059</v>
      </c>
      <c r="V30" s="236">
        <v>254</v>
      </c>
      <c r="W30" s="236">
        <v>53</v>
      </c>
      <c r="X30" s="236">
        <v>7</v>
      </c>
      <c r="Y30" s="236">
        <v>0</v>
      </c>
      <c r="Z30" s="236">
        <v>0</v>
      </c>
      <c r="AA30" s="236">
        <v>44</v>
      </c>
      <c r="AB30" s="236">
        <v>3</v>
      </c>
      <c r="AC30" s="236">
        <v>1</v>
      </c>
      <c r="AD30" s="236">
        <v>0</v>
      </c>
      <c r="AE30" s="236">
        <v>0</v>
      </c>
      <c r="AF30" s="236">
        <v>0</v>
      </c>
      <c r="AG30" s="236">
        <v>0</v>
      </c>
      <c r="AH30" s="236">
        <v>0</v>
      </c>
      <c r="AI30" s="236">
        <v>0</v>
      </c>
      <c r="AJ30" s="236">
        <v>0</v>
      </c>
      <c r="AK30" s="236">
        <v>0</v>
      </c>
      <c r="AL30" s="236">
        <v>0</v>
      </c>
      <c r="AM30" s="236">
        <v>0</v>
      </c>
      <c r="AN30" s="236">
        <v>0</v>
      </c>
      <c r="AO30" s="236">
        <v>0</v>
      </c>
      <c r="AP30" s="236">
        <v>0</v>
      </c>
      <c r="AQ30" s="236">
        <v>0</v>
      </c>
      <c r="AR30" s="236">
        <v>0</v>
      </c>
      <c r="AS30" s="236">
        <v>0</v>
      </c>
      <c r="AT30" s="236">
        <v>0</v>
      </c>
      <c r="AU30" s="236">
        <v>0</v>
      </c>
      <c r="AV30" s="236">
        <v>0</v>
      </c>
      <c r="AW30" s="236">
        <v>0</v>
      </c>
      <c r="AX30" s="236">
        <v>0</v>
      </c>
      <c r="AY30" s="236">
        <v>0</v>
      </c>
      <c r="AZ30" s="236">
        <v>12</v>
      </c>
      <c r="BA30" s="236">
        <v>12</v>
      </c>
      <c r="BB30" s="236">
        <v>12</v>
      </c>
      <c r="BC30" s="236">
        <v>92</v>
      </c>
      <c r="BD30" s="236">
        <v>91</v>
      </c>
      <c r="BE30" s="236">
        <v>91</v>
      </c>
      <c r="BF30" s="236">
        <v>18</v>
      </c>
      <c r="BG30" s="236">
        <v>0</v>
      </c>
      <c r="BH30" s="236">
        <v>0</v>
      </c>
      <c r="BI30" s="236">
        <v>0</v>
      </c>
      <c r="BJ30" s="236">
        <v>0</v>
      </c>
      <c r="BK30" s="236">
        <v>0</v>
      </c>
      <c r="BL30" s="236">
        <v>0</v>
      </c>
      <c r="BM30" s="236">
        <v>0</v>
      </c>
      <c r="BN30" s="236">
        <v>0</v>
      </c>
      <c r="BO30" s="236">
        <v>0</v>
      </c>
      <c r="BP30" s="236">
        <v>0</v>
      </c>
      <c r="BQ30" s="236">
        <v>0</v>
      </c>
      <c r="BR30" s="236">
        <v>0</v>
      </c>
      <c r="BS30" s="236">
        <v>0</v>
      </c>
      <c r="BT30" s="236">
        <v>0</v>
      </c>
      <c r="BU30" s="236">
        <v>0</v>
      </c>
      <c r="BV30" s="236">
        <v>0</v>
      </c>
      <c r="BW30" s="236">
        <v>0</v>
      </c>
      <c r="BX30" s="236">
        <v>0</v>
      </c>
      <c r="BY30" s="236">
        <v>0</v>
      </c>
      <c r="BZ30" s="236">
        <v>0</v>
      </c>
      <c r="CA30" s="236">
        <v>0</v>
      </c>
      <c r="CB30" s="236">
        <v>0</v>
      </c>
      <c r="CC30" s="236">
        <v>0</v>
      </c>
      <c r="CD30" s="236">
        <v>0</v>
      </c>
      <c r="CE30" s="236">
        <v>0</v>
      </c>
      <c r="CF30" s="236">
        <v>0</v>
      </c>
      <c r="CG30" s="236">
        <v>0</v>
      </c>
      <c r="CH30" s="236">
        <v>0</v>
      </c>
      <c r="CI30" s="236">
        <f t="shared" si="0"/>
        <v>44</v>
      </c>
      <c r="CJ30" s="236">
        <v>41</v>
      </c>
      <c r="CK30" s="236">
        <v>38</v>
      </c>
      <c r="CL30" s="236">
        <v>3</v>
      </c>
      <c r="CM30" s="236">
        <v>0</v>
      </c>
      <c r="CN30" s="236">
        <v>0</v>
      </c>
      <c r="CO30" s="236">
        <v>1</v>
      </c>
      <c r="CP30" s="236">
        <v>1</v>
      </c>
      <c r="CQ30" s="236">
        <v>1</v>
      </c>
      <c r="CR30" s="236">
        <v>0</v>
      </c>
      <c r="CS30" s="236">
        <v>0</v>
      </c>
      <c r="CT30" s="236">
        <v>33</v>
      </c>
      <c r="CU30" s="236">
        <v>33</v>
      </c>
      <c r="CV30" s="236">
        <v>33</v>
      </c>
      <c r="CX30" s="236">
        <f t="shared" si="1"/>
        <v>59</v>
      </c>
      <c r="CY30" s="236">
        <f t="shared" si="5"/>
        <v>58</v>
      </c>
      <c r="CZ30" s="236">
        <f t="shared" si="3"/>
        <v>58</v>
      </c>
    </row>
    <row r="31" ht="18" customHeight="1" spans="1:104">
      <c r="A31" s="235" t="s">
        <v>106</v>
      </c>
      <c r="B31" s="236">
        <v>0</v>
      </c>
      <c r="C31" s="236">
        <v>0</v>
      </c>
      <c r="D31" s="236">
        <v>1</v>
      </c>
      <c r="E31" s="236">
        <v>0</v>
      </c>
      <c r="F31" s="236">
        <v>0</v>
      </c>
      <c r="G31" s="236">
        <v>0</v>
      </c>
      <c r="H31" s="236">
        <v>0</v>
      </c>
      <c r="I31" s="236">
        <v>0</v>
      </c>
      <c r="J31" s="236">
        <v>0</v>
      </c>
      <c r="K31" s="236">
        <v>0</v>
      </c>
      <c r="L31" s="236">
        <v>3</v>
      </c>
      <c r="M31" s="236">
        <v>0</v>
      </c>
      <c r="N31" s="236">
        <v>0</v>
      </c>
      <c r="O31" s="236">
        <v>0</v>
      </c>
      <c r="P31" s="236">
        <v>0</v>
      </c>
      <c r="Q31" s="236">
        <v>0</v>
      </c>
      <c r="R31" s="236">
        <v>0</v>
      </c>
      <c r="S31" s="236">
        <v>0</v>
      </c>
      <c r="T31" s="236">
        <v>0</v>
      </c>
      <c r="U31" s="236">
        <v>1306</v>
      </c>
      <c r="V31" s="236">
        <v>303</v>
      </c>
      <c r="W31" s="236">
        <v>69</v>
      </c>
      <c r="X31" s="236">
        <v>14</v>
      </c>
      <c r="Y31" s="236">
        <v>0</v>
      </c>
      <c r="Z31" s="236">
        <v>0</v>
      </c>
      <c r="AA31" s="236">
        <v>47</v>
      </c>
      <c r="AB31" s="236">
        <v>7</v>
      </c>
      <c r="AC31" s="236">
        <v>2</v>
      </c>
      <c r="AD31" s="236">
        <v>0</v>
      </c>
      <c r="AE31" s="236">
        <v>0</v>
      </c>
      <c r="AF31" s="236">
        <v>0</v>
      </c>
      <c r="AG31" s="236">
        <v>0</v>
      </c>
      <c r="AH31" s="236">
        <v>0</v>
      </c>
      <c r="AI31" s="236">
        <v>0</v>
      </c>
      <c r="AJ31" s="236">
        <v>0</v>
      </c>
      <c r="AK31" s="236">
        <v>0</v>
      </c>
      <c r="AL31" s="236">
        <v>0</v>
      </c>
      <c r="AM31" s="236">
        <v>0</v>
      </c>
      <c r="AN31" s="236">
        <v>0</v>
      </c>
      <c r="AO31" s="236">
        <v>0</v>
      </c>
      <c r="AP31" s="236">
        <v>0</v>
      </c>
      <c r="AQ31" s="236">
        <v>0</v>
      </c>
      <c r="AR31" s="236">
        <v>0</v>
      </c>
      <c r="AS31" s="236">
        <v>0</v>
      </c>
      <c r="AT31" s="236">
        <v>0</v>
      </c>
      <c r="AU31" s="236">
        <v>0</v>
      </c>
      <c r="AV31" s="236">
        <v>0</v>
      </c>
      <c r="AW31" s="236">
        <v>0</v>
      </c>
      <c r="AX31" s="236">
        <v>0</v>
      </c>
      <c r="AY31" s="236">
        <v>0</v>
      </c>
      <c r="AZ31" s="236">
        <v>12</v>
      </c>
      <c r="BA31" s="236">
        <v>12</v>
      </c>
      <c r="BB31" s="236">
        <v>12</v>
      </c>
      <c r="BC31" s="236">
        <v>92</v>
      </c>
      <c r="BD31" s="236">
        <v>91</v>
      </c>
      <c r="BE31" s="236">
        <v>91</v>
      </c>
      <c r="BF31" s="236">
        <v>15</v>
      </c>
      <c r="BG31" s="236">
        <v>0</v>
      </c>
      <c r="BH31" s="236">
        <v>0</v>
      </c>
      <c r="BI31" s="236">
        <v>0</v>
      </c>
      <c r="BJ31" s="236">
        <v>0</v>
      </c>
      <c r="BK31" s="236">
        <v>0</v>
      </c>
      <c r="BL31" s="236">
        <v>0</v>
      </c>
      <c r="BM31" s="236">
        <v>0</v>
      </c>
      <c r="BN31" s="236">
        <v>0</v>
      </c>
      <c r="BO31" s="236">
        <v>0</v>
      </c>
      <c r="BP31" s="236">
        <v>0</v>
      </c>
      <c r="BQ31" s="236">
        <v>0</v>
      </c>
      <c r="BR31" s="236">
        <v>0</v>
      </c>
      <c r="BS31" s="236">
        <v>0</v>
      </c>
      <c r="BT31" s="236">
        <v>0</v>
      </c>
      <c r="BU31" s="236">
        <v>0</v>
      </c>
      <c r="BV31" s="236">
        <v>0</v>
      </c>
      <c r="BW31" s="236">
        <v>0</v>
      </c>
      <c r="BX31" s="236">
        <v>0</v>
      </c>
      <c r="BY31" s="236">
        <v>0</v>
      </c>
      <c r="BZ31" s="236">
        <v>0</v>
      </c>
      <c r="CA31" s="236">
        <v>0</v>
      </c>
      <c r="CB31" s="236">
        <v>0</v>
      </c>
      <c r="CC31" s="236">
        <v>0</v>
      </c>
      <c r="CD31" s="236">
        <v>0</v>
      </c>
      <c r="CE31" s="236">
        <v>0</v>
      </c>
      <c r="CF31" s="236">
        <v>0</v>
      </c>
      <c r="CG31" s="236">
        <v>0</v>
      </c>
      <c r="CH31" s="236">
        <v>0</v>
      </c>
      <c r="CI31" s="236">
        <f t="shared" si="0"/>
        <v>47</v>
      </c>
      <c r="CJ31" s="236">
        <v>47</v>
      </c>
      <c r="CK31" s="236">
        <v>40</v>
      </c>
      <c r="CL31" s="236">
        <v>7</v>
      </c>
      <c r="CM31" s="236">
        <v>1</v>
      </c>
      <c r="CN31" s="236">
        <v>1</v>
      </c>
      <c r="CO31" s="236">
        <v>3</v>
      </c>
      <c r="CP31" s="236">
        <v>3</v>
      </c>
      <c r="CQ31" s="236">
        <v>3</v>
      </c>
      <c r="CR31" s="236">
        <v>0</v>
      </c>
      <c r="CS31" s="236">
        <v>0</v>
      </c>
      <c r="CT31" s="236">
        <v>33</v>
      </c>
      <c r="CU31" s="236">
        <v>32</v>
      </c>
      <c r="CV31" s="236">
        <v>32</v>
      </c>
      <c r="CX31" s="236">
        <f t="shared" si="1"/>
        <v>59</v>
      </c>
      <c r="CY31" s="236">
        <f t="shared" si="5"/>
        <v>59</v>
      </c>
      <c r="CZ31" s="236">
        <f t="shared" si="3"/>
        <v>59</v>
      </c>
    </row>
    <row r="32" ht="18" customHeight="1" spans="1:104">
      <c r="A32" s="235" t="s">
        <v>107</v>
      </c>
      <c r="B32" s="236">
        <v>0</v>
      </c>
      <c r="C32" s="236">
        <v>0</v>
      </c>
      <c r="D32" s="236">
        <v>0</v>
      </c>
      <c r="E32" s="236">
        <v>0</v>
      </c>
      <c r="F32" s="236">
        <v>0</v>
      </c>
      <c r="G32" s="236">
        <v>0</v>
      </c>
      <c r="H32" s="236">
        <v>0</v>
      </c>
      <c r="I32" s="236">
        <v>0</v>
      </c>
      <c r="J32" s="236">
        <v>0</v>
      </c>
      <c r="K32" s="236">
        <v>0</v>
      </c>
      <c r="L32" s="236">
        <v>0</v>
      </c>
      <c r="M32" s="236">
        <v>0</v>
      </c>
      <c r="N32" s="236">
        <v>0</v>
      </c>
      <c r="O32" s="236">
        <v>0</v>
      </c>
      <c r="P32" s="236">
        <v>0</v>
      </c>
      <c r="Q32" s="236">
        <v>0</v>
      </c>
      <c r="R32" s="236">
        <v>0</v>
      </c>
      <c r="S32" s="236">
        <v>0</v>
      </c>
      <c r="T32" s="236">
        <v>0</v>
      </c>
      <c r="U32" s="236">
        <v>1356</v>
      </c>
      <c r="V32" s="236">
        <v>271</v>
      </c>
      <c r="W32" s="236">
        <v>60</v>
      </c>
      <c r="X32" s="236">
        <v>2</v>
      </c>
      <c r="Y32" s="236">
        <v>0</v>
      </c>
      <c r="Z32" s="236">
        <v>0</v>
      </c>
      <c r="AA32" s="236">
        <v>44</v>
      </c>
      <c r="AB32" s="236">
        <v>13</v>
      </c>
      <c r="AC32" s="236">
        <v>4</v>
      </c>
      <c r="AD32" s="236">
        <v>0</v>
      </c>
      <c r="AE32" s="236">
        <v>0</v>
      </c>
      <c r="AF32" s="236">
        <v>0</v>
      </c>
      <c r="AG32" s="236">
        <v>0</v>
      </c>
      <c r="AH32" s="236">
        <v>0</v>
      </c>
      <c r="AI32" s="236">
        <v>0</v>
      </c>
      <c r="AJ32" s="236">
        <v>0</v>
      </c>
      <c r="AK32" s="236">
        <v>0</v>
      </c>
      <c r="AL32" s="236">
        <v>0</v>
      </c>
      <c r="AM32" s="236">
        <v>0</v>
      </c>
      <c r="AN32" s="236">
        <v>0</v>
      </c>
      <c r="AO32" s="236">
        <v>0</v>
      </c>
      <c r="AP32" s="236">
        <v>0</v>
      </c>
      <c r="AQ32" s="236">
        <v>0</v>
      </c>
      <c r="AR32" s="236">
        <v>0</v>
      </c>
      <c r="AS32" s="236">
        <v>0</v>
      </c>
      <c r="AT32" s="236">
        <v>0</v>
      </c>
      <c r="AU32" s="236">
        <v>0</v>
      </c>
      <c r="AV32" s="236">
        <v>0</v>
      </c>
      <c r="AW32" s="236">
        <v>0</v>
      </c>
      <c r="AX32" s="236">
        <v>0</v>
      </c>
      <c r="AY32" s="236">
        <v>0</v>
      </c>
      <c r="AZ32" s="236">
        <v>12</v>
      </c>
      <c r="BA32" s="236">
        <v>12</v>
      </c>
      <c r="BB32" s="236">
        <v>12</v>
      </c>
      <c r="BC32" s="236">
        <v>92</v>
      </c>
      <c r="BD32" s="236">
        <v>89</v>
      </c>
      <c r="BE32" s="236">
        <v>88</v>
      </c>
      <c r="BF32" s="236">
        <v>11</v>
      </c>
      <c r="BG32" s="236">
        <v>0</v>
      </c>
      <c r="BH32" s="236">
        <v>0</v>
      </c>
      <c r="BI32" s="236">
        <v>0</v>
      </c>
      <c r="BJ32" s="236">
        <v>0</v>
      </c>
      <c r="BK32" s="236">
        <v>0</v>
      </c>
      <c r="BL32" s="236">
        <v>0</v>
      </c>
      <c r="BM32" s="236">
        <v>0</v>
      </c>
      <c r="BN32" s="236">
        <v>0</v>
      </c>
      <c r="BO32" s="236">
        <v>0</v>
      </c>
      <c r="BP32" s="236">
        <v>0</v>
      </c>
      <c r="BQ32" s="236">
        <v>0</v>
      </c>
      <c r="BR32" s="236">
        <v>0</v>
      </c>
      <c r="BS32" s="236">
        <v>0</v>
      </c>
      <c r="BT32" s="236">
        <v>0</v>
      </c>
      <c r="BU32" s="236">
        <v>0</v>
      </c>
      <c r="BV32" s="236">
        <v>0</v>
      </c>
      <c r="BW32" s="236">
        <v>0</v>
      </c>
      <c r="BX32" s="236">
        <v>0</v>
      </c>
      <c r="BY32" s="236">
        <v>0</v>
      </c>
      <c r="BZ32" s="236">
        <v>0</v>
      </c>
      <c r="CA32" s="236">
        <v>0</v>
      </c>
      <c r="CB32" s="236">
        <v>0</v>
      </c>
      <c r="CC32" s="236">
        <v>0</v>
      </c>
      <c r="CD32" s="236">
        <v>0</v>
      </c>
      <c r="CE32" s="236">
        <v>0</v>
      </c>
      <c r="CF32" s="236">
        <v>0</v>
      </c>
      <c r="CG32" s="236">
        <v>0</v>
      </c>
      <c r="CH32" s="236">
        <v>0</v>
      </c>
      <c r="CI32" s="236">
        <f t="shared" si="0"/>
        <v>44</v>
      </c>
      <c r="CJ32" s="236">
        <v>44</v>
      </c>
      <c r="CK32" s="236">
        <v>31</v>
      </c>
      <c r="CL32" s="236">
        <v>13</v>
      </c>
      <c r="CM32" s="236">
        <v>0</v>
      </c>
      <c r="CN32" s="236">
        <v>0</v>
      </c>
      <c r="CO32" s="236">
        <v>0</v>
      </c>
      <c r="CP32" s="236">
        <v>0</v>
      </c>
      <c r="CQ32" s="236">
        <v>0</v>
      </c>
      <c r="CR32" s="236">
        <v>0</v>
      </c>
      <c r="CS32" s="236">
        <v>0</v>
      </c>
      <c r="CT32" s="236">
        <v>33</v>
      </c>
      <c r="CU32" s="236">
        <v>32</v>
      </c>
      <c r="CV32" s="236">
        <v>32</v>
      </c>
      <c r="CX32" s="236">
        <f t="shared" si="1"/>
        <v>59</v>
      </c>
      <c r="CY32" s="236">
        <f t="shared" si="5"/>
        <v>57</v>
      </c>
      <c r="CZ32" s="236">
        <f t="shared" si="3"/>
        <v>56</v>
      </c>
    </row>
    <row r="33" ht="18" customHeight="1" spans="1:104">
      <c r="A33" s="235" t="s">
        <v>108</v>
      </c>
      <c r="B33" s="236">
        <v>0</v>
      </c>
      <c r="C33" s="236">
        <v>0</v>
      </c>
      <c r="D33" s="236">
        <v>0</v>
      </c>
      <c r="E33" s="236">
        <v>0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1</v>
      </c>
      <c r="M33" s="236">
        <v>0</v>
      </c>
      <c r="N33" s="236">
        <v>0</v>
      </c>
      <c r="O33" s="236">
        <v>0</v>
      </c>
      <c r="P33" s="236">
        <v>0</v>
      </c>
      <c r="Q33" s="236">
        <v>0</v>
      </c>
      <c r="R33" s="236">
        <v>0</v>
      </c>
      <c r="S33" s="236">
        <v>0</v>
      </c>
      <c r="T33" s="236">
        <v>0</v>
      </c>
      <c r="U33" s="236">
        <v>1536</v>
      </c>
      <c r="V33" s="236">
        <v>319</v>
      </c>
      <c r="W33" s="236">
        <v>92</v>
      </c>
      <c r="X33" s="236">
        <v>6</v>
      </c>
      <c r="Y33" s="236">
        <v>0</v>
      </c>
      <c r="Z33" s="236">
        <v>0</v>
      </c>
      <c r="AA33" s="236">
        <v>55</v>
      </c>
      <c r="AB33" s="236">
        <v>20</v>
      </c>
      <c r="AC33" s="236">
        <v>6</v>
      </c>
      <c r="AD33" s="236">
        <v>0</v>
      </c>
      <c r="AE33" s="236">
        <v>0</v>
      </c>
      <c r="AF33" s="236">
        <v>0</v>
      </c>
      <c r="AG33" s="236">
        <v>0</v>
      </c>
      <c r="AH33" s="236">
        <v>0</v>
      </c>
      <c r="AI33" s="236">
        <v>0</v>
      </c>
      <c r="AJ33" s="236">
        <v>0</v>
      </c>
      <c r="AK33" s="236">
        <v>0</v>
      </c>
      <c r="AL33" s="236">
        <v>0</v>
      </c>
      <c r="AM33" s="236">
        <v>0</v>
      </c>
      <c r="AN33" s="236">
        <v>0</v>
      </c>
      <c r="AO33" s="236">
        <v>0</v>
      </c>
      <c r="AP33" s="236">
        <v>0</v>
      </c>
      <c r="AQ33" s="236">
        <v>0</v>
      </c>
      <c r="AR33" s="236">
        <v>0</v>
      </c>
      <c r="AS33" s="236">
        <v>0</v>
      </c>
      <c r="AT33" s="236">
        <v>0</v>
      </c>
      <c r="AU33" s="236">
        <v>0</v>
      </c>
      <c r="AV33" s="236">
        <v>0</v>
      </c>
      <c r="AW33" s="236">
        <v>0</v>
      </c>
      <c r="AX33" s="236">
        <v>0</v>
      </c>
      <c r="AY33" s="236">
        <v>0</v>
      </c>
      <c r="AZ33" s="236">
        <v>12</v>
      </c>
      <c r="BA33" s="236">
        <v>12</v>
      </c>
      <c r="BB33" s="236">
        <v>12</v>
      </c>
      <c r="BC33" s="236">
        <v>92</v>
      </c>
      <c r="BD33" s="236">
        <v>91</v>
      </c>
      <c r="BE33" s="236">
        <v>86</v>
      </c>
      <c r="BF33" s="236">
        <v>14</v>
      </c>
      <c r="BG33" s="236">
        <v>0</v>
      </c>
      <c r="BH33" s="236">
        <v>0</v>
      </c>
      <c r="BI33" s="236">
        <v>0</v>
      </c>
      <c r="BJ33" s="236">
        <v>0</v>
      </c>
      <c r="BK33" s="236">
        <v>0</v>
      </c>
      <c r="BL33" s="236">
        <v>0</v>
      </c>
      <c r="BM33" s="236">
        <v>0</v>
      </c>
      <c r="BN33" s="236">
        <v>0</v>
      </c>
      <c r="BO33" s="236">
        <v>0</v>
      </c>
      <c r="BP33" s="236">
        <v>0</v>
      </c>
      <c r="BQ33" s="236">
        <v>0</v>
      </c>
      <c r="BR33" s="236">
        <v>0</v>
      </c>
      <c r="BS33" s="236">
        <v>0</v>
      </c>
      <c r="BT33" s="236">
        <v>0</v>
      </c>
      <c r="BU33" s="236">
        <v>0</v>
      </c>
      <c r="BV33" s="236">
        <v>0</v>
      </c>
      <c r="BW33" s="236">
        <v>0</v>
      </c>
      <c r="BX33" s="236">
        <v>0</v>
      </c>
      <c r="BY33" s="236">
        <v>0</v>
      </c>
      <c r="BZ33" s="236">
        <v>0</v>
      </c>
      <c r="CA33" s="236">
        <v>0</v>
      </c>
      <c r="CB33" s="236">
        <v>0</v>
      </c>
      <c r="CC33" s="236">
        <v>0</v>
      </c>
      <c r="CD33" s="236">
        <v>0</v>
      </c>
      <c r="CE33" s="236">
        <v>0</v>
      </c>
      <c r="CF33" s="236">
        <v>0</v>
      </c>
      <c r="CG33" s="236">
        <v>0</v>
      </c>
      <c r="CH33" s="236">
        <v>0</v>
      </c>
      <c r="CI33" s="236">
        <f t="shared" si="0"/>
        <v>55</v>
      </c>
      <c r="CJ33" s="236">
        <v>55</v>
      </c>
      <c r="CK33" s="236">
        <v>35</v>
      </c>
      <c r="CL33" s="236">
        <v>20</v>
      </c>
      <c r="CM33" s="236">
        <v>0</v>
      </c>
      <c r="CN33" s="236">
        <v>0</v>
      </c>
      <c r="CO33" s="236">
        <v>1</v>
      </c>
      <c r="CP33" s="236">
        <v>1</v>
      </c>
      <c r="CQ33" s="236">
        <v>1</v>
      </c>
      <c r="CR33" s="236">
        <v>0</v>
      </c>
      <c r="CS33" s="236">
        <v>0</v>
      </c>
      <c r="CT33" s="236">
        <v>33</v>
      </c>
      <c r="CU33" s="236">
        <v>33</v>
      </c>
      <c r="CV33" s="236">
        <v>33</v>
      </c>
      <c r="CX33" s="236">
        <f t="shared" si="1"/>
        <v>59</v>
      </c>
      <c r="CY33" s="236">
        <f t="shared" si="5"/>
        <v>58</v>
      </c>
      <c r="CZ33" s="236">
        <f t="shared" si="3"/>
        <v>53</v>
      </c>
    </row>
    <row r="34" ht="18" customHeight="1" spans="1:104">
      <c r="A34" s="235" t="s">
        <v>109</v>
      </c>
      <c r="B34" s="236">
        <v>0</v>
      </c>
      <c r="C34" s="236">
        <v>0</v>
      </c>
      <c r="D34" s="236">
        <v>0</v>
      </c>
      <c r="E34" s="236">
        <v>0</v>
      </c>
      <c r="F34" s="236">
        <v>0</v>
      </c>
      <c r="G34" s="236">
        <v>0</v>
      </c>
      <c r="H34" s="236">
        <v>0</v>
      </c>
      <c r="I34" s="236">
        <v>0</v>
      </c>
      <c r="J34" s="236">
        <v>0</v>
      </c>
      <c r="K34" s="236">
        <v>0</v>
      </c>
      <c r="L34" s="236">
        <v>0</v>
      </c>
      <c r="M34" s="236">
        <v>0</v>
      </c>
      <c r="N34" s="236">
        <v>0</v>
      </c>
      <c r="O34" s="236">
        <v>0</v>
      </c>
      <c r="P34" s="236">
        <v>0</v>
      </c>
      <c r="Q34" s="236">
        <v>0</v>
      </c>
      <c r="R34" s="236">
        <v>0</v>
      </c>
      <c r="S34" s="236">
        <v>0</v>
      </c>
      <c r="T34" s="236">
        <v>0</v>
      </c>
      <c r="U34" s="236">
        <v>1517</v>
      </c>
      <c r="V34" s="236">
        <v>307</v>
      </c>
      <c r="W34" s="236">
        <v>86</v>
      </c>
      <c r="X34" s="236">
        <v>8</v>
      </c>
      <c r="Y34" s="236">
        <v>0</v>
      </c>
      <c r="Z34" s="236">
        <v>0</v>
      </c>
      <c r="AA34" s="236">
        <v>41</v>
      </c>
      <c r="AB34" s="236">
        <v>18</v>
      </c>
      <c r="AC34" s="236">
        <v>12</v>
      </c>
      <c r="AD34" s="236">
        <v>0</v>
      </c>
      <c r="AE34" s="236">
        <v>0</v>
      </c>
      <c r="AF34" s="236">
        <v>0</v>
      </c>
      <c r="AG34" s="236">
        <v>0</v>
      </c>
      <c r="AH34" s="236">
        <v>0</v>
      </c>
      <c r="AI34" s="236">
        <v>0</v>
      </c>
      <c r="AJ34" s="236">
        <v>0</v>
      </c>
      <c r="AK34" s="236">
        <v>0</v>
      </c>
      <c r="AL34" s="236">
        <v>0</v>
      </c>
      <c r="AM34" s="236">
        <v>0</v>
      </c>
      <c r="AN34" s="236">
        <v>0</v>
      </c>
      <c r="AO34" s="236">
        <v>0</v>
      </c>
      <c r="AP34" s="236">
        <v>0</v>
      </c>
      <c r="AQ34" s="236">
        <v>0</v>
      </c>
      <c r="AR34" s="236">
        <v>0</v>
      </c>
      <c r="AS34" s="236">
        <v>0</v>
      </c>
      <c r="AT34" s="236">
        <v>0</v>
      </c>
      <c r="AU34" s="236">
        <v>0</v>
      </c>
      <c r="AV34" s="236">
        <v>0</v>
      </c>
      <c r="AW34" s="236">
        <v>0</v>
      </c>
      <c r="AX34" s="236">
        <v>0</v>
      </c>
      <c r="AY34" s="236">
        <v>0</v>
      </c>
      <c r="AZ34" s="236">
        <v>12</v>
      </c>
      <c r="BA34" s="236">
        <v>12</v>
      </c>
      <c r="BB34" s="236">
        <v>12</v>
      </c>
      <c r="BC34" s="236">
        <v>92</v>
      </c>
      <c r="BD34" s="236">
        <v>91</v>
      </c>
      <c r="BE34" s="236">
        <v>87</v>
      </c>
      <c r="BF34" s="236">
        <v>15</v>
      </c>
      <c r="BG34" s="236">
        <v>0</v>
      </c>
      <c r="BH34" s="236">
        <v>0</v>
      </c>
      <c r="BI34" s="236">
        <v>0</v>
      </c>
      <c r="BJ34" s="236">
        <v>0</v>
      </c>
      <c r="BK34" s="236">
        <v>0</v>
      </c>
      <c r="BL34" s="236">
        <v>0</v>
      </c>
      <c r="BM34" s="236">
        <v>0</v>
      </c>
      <c r="BN34" s="236">
        <v>0</v>
      </c>
      <c r="BO34" s="236">
        <v>0</v>
      </c>
      <c r="BP34" s="236">
        <v>0</v>
      </c>
      <c r="BQ34" s="236">
        <v>0</v>
      </c>
      <c r="BR34" s="236">
        <v>0</v>
      </c>
      <c r="BS34" s="236">
        <v>0</v>
      </c>
      <c r="BT34" s="236">
        <v>0</v>
      </c>
      <c r="BU34" s="236">
        <v>0</v>
      </c>
      <c r="BV34" s="236">
        <v>0</v>
      </c>
      <c r="BW34" s="236">
        <v>0</v>
      </c>
      <c r="BX34" s="236">
        <v>0</v>
      </c>
      <c r="BY34" s="236">
        <v>0</v>
      </c>
      <c r="BZ34" s="236">
        <v>0</v>
      </c>
      <c r="CA34" s="236">
        <v>0</v>
      </c>
      <c r="CB34" s="236">
        <v>0</v>
      </c>
      <c r="CC34" s="236">
        <v>0</v>
      </c>
      <c r="CD34" s="236">
        <v>0</v>
      </c>
      <c r="CE34" s="236">
        <v>0</v>
      </c>
      <c r="CF34" s="236">
        <v>0</v>
      </c>
      <c r="CG34" s="236">
        <v>0</v>
      </c>
      <c r="CH34" s="236">
        <v>0</v>
      </c>
      <c r="CI34" s="236">
        <v>41</v>
      </c>
      <c r="CJ34" s="236">
        <v>41</v>
      </c>
      <c r="CK34" s="236">
        <v>23</v>
      </c>
      <c r="CL34" s="236">
        <v>18</v>
      </c>
      <c r="CM34" s="236">
        <v>0</v>
      </c>
      <c r="CN34" s="236">
        <v>0</v>
      </c>
      <c r="CO34" s="236">
        <v>0</v>
      </c>
      <c r="CP34" s="236">
        <v>0</v>
      </c>
      <c r="CQ34" s="236">
        <v>0</v>
      </c>
      <c r="CR34" s="236">
        <v>0</v>
      </c>
      <c r="CS34" s="236">
        <v>0</v>
      </c>
      <c r="CT34" s="236">
        <v>33</v>
      </c>
      <c r="CU34" s="236">
        <v>32</v>
      </c>
      <c r="CV34" s="236">
        <v>31</v>
      </c>
      <c r="CX34" s="236">
        <f t="shared" si="1"/>
        <v>59</v>
      </c>
      <c r="CY34" s="236">
        <f t="shared" si="5"/>
        <v>59</v>
      </c>
      <c r="CZ34" s="236">
        <f t="shared" si="3"/>
        <v>56</v>
      </c>
    </row>
    <row r="35" ht="18" customHeight="1" spans="1:104">
      <c r="A35" s="235" t="s">
        <v>110</v>
      </c>
      <c r="B35" s="236">
        <v>0</v>
      </c>
      <c r="C35" s="236">
        <v>0</v>
      </c>
      <c r="D35" s="236">
        <v>0</v>
      </c>
      <c r="E35" s="236">
        <v>0</v>
      </c>
      <c r="F35" s="236">
        <v>0</v>
      </c>
      <c r="G35" s="236">
        <v>0</v>
      </c>
      <c r="H35" s="236">
        <v>0</v>
      </c>
      <c r="I35" s="236">
        <v>0</v>
      </c>
      <c r="J35" s="236">
        <v>0</v>
      </c>
      <c r="K35" s="236">
        <v>0</v>
      </c>
      <c r="L35" s="236">
        <v>2</v>
      </c>
      <c r="M35" s="236">
        <v>0</v>
      </c>
      <c r="N35" s="236">
        <v>0</v>
      </c>
      <c r="O35" s="236">
        <v>0</v>
      </c>
      <c r="P35" s="236">
        <v>0</v>
      </c>
      <c r="Q35" s="236">
        <v>0</v>
      </c>
      <c r="R35" s="236">
        <v>0</v>
      </c>
      <c r="S35" s="236">
        <v>0</v>
      </c>
      <c r="T35" s="236">
        <v>0</v>
      </c>
      <c r="U35" s="236">
        <v>1581</v>
      </c>
      <c r="V35" s="236">
        <v>235</v>
      </c>
      <c r="W35" s="236">
        <v>105</v>
      </c>
      <c r="X35" s="236">
        <v>9</v>
      </c>
      <c r="Y35" s="236">
        <v>0</v>
      </c>
      <c r="Z35" s="236">
        <v>0</v>
      </c>
      <c r="AA35" s="236">
        <v>56</v>
      </c>
      <c r="AB35" s="236">
        <v>20</v>
      </c>
      <c r="AC35" s="236">
        <v>9</v>
      </c>
      <c r="AD35" s="236">
        <v>0</v>
      </c>
      <c r="AE35" s="236">
        <v>0</v>
      </c>
      <c r="AF35" s="236">
        <v>0</v>
      </c>
      <c r="AG35" s="236">
        <v>0</v>
      </c>
      <c r="AH35" s="236">
        <v>0</v>
      </c>
      <c r="AI35" s="236">
        <v>0</v>
      </c>
      <c r="AJ35" s="236">
        <v>0</v>
      </c>
      <c r="AK35" s="236">
        <v>0</v>
      </c>
      <c r="AL35" s="236">
        <v>0</v>
      </c>
      <c r="AM35" s="236">
        <v>0</v>
      </c>
      <c r="AN35" s="236">
        <v>0</v>
      </c>
      <c r="AO35" s="236">
        <v>0</v>
      </c>
      <c r="AP35" s="236">
        <v>0</v>
      </c>
      <c r="AQ35" s="236">
        <v>0</v>
      </c>
      <c r="AR35" s="236">
        <v>0</v>
      </c>
      <c r="AS35" s="236">
        <v>0</v>
      </c>
      <c r="AT35" s="236">
        <v>0</v>
      </c>
      <c r="AU35" s="236">
        <v>0</v>
      </c>
      <c r="AV35" s="236">
        <v>0</v>
      </c>
      <c r="AW35" s="236">
        <v>0</v>
      </c>
      <c r="AX35" s="236">
        <v>0</v>
      </c>
      <c r="AY35" s="236">
        <v>0</v>
      </c>
      <c r="AZ35" s="236">
        <v>12</v>
      </c>
      <c r="BA35" s="236">
        <v>12</v>
      </c>
      <c r="BB35" s="236">
        <v>12</v>
      </c>
      <c r="BC35" s="236">
        <v>92</v>
      </c>
      <c r="BD35" s="236">
        <v>90</v>
      </c>
      <c r="BE35" s="236">
        <v>87</v>
      </c>
      <c r="BF35" s="236">
        <v>3</v>
      </c>
      <c r="BG35" s="236">
        <v>0</v>
      </c>
      <c r="BH35" s="236">
        <v>0</v>
      </c>
      <c r="BI35" s="236">
        <v>0</v>
      </c>
      <c r="BJ35" s="236">
        <v>0</v>
      </c>
      <c r="BK35" s="236">
        <v>0</v>
      </c>
      <c r="BL35" s="236">
        <v>0</v>
      </c>
      <c r="BM35" s="236">
        <v>0</v>
      </c>
      <c r="BN35" s="236">
        <v>0</v>
      </c>
      <c r="BO35" s="236">
        <v>0</v>
      </c>
      <c r="BP35" s="236">
        <v>0</v>
      </c>
      <c r="BQ35" s="236">
        <v>0</v>
      </c>
      <c r="BR35" s="236">
        <v>0</v>
      </c>
      <c r="BS35" s="236">
        <v>0</v>
      </c>
      <c r="BT35" s="236">
        <v>0</v>
      </c>
      <c r="BU35" s="236">
        <v>0</v>
      </c>
      <c r="BV35" s="236">
        <v>0</v>
      </c>
      <c r="BW35" s="236">
        <v>0</v>
      </c>
      <c r="BX35" s="236">
        <v>0</v>
      </c>
      <c r="BY35" s="236">
        <v>0</v>
      </c>
      <c r="BZ35" s="236">
        <v>0</v>
      </c>
      <c r="CA35" s="236">
        <v>0</v>
      </c>
      <c r="CB35" s="236">
        <v>0</v>
      </c>
      <c r="CC35" s="236">
        <v>0</v>
      </c>
      <c r="CD35" s="236">
        <v>0</v>
      </c>
      <c r="CE35" s="236">
        <v>0</v>
      </c>
      <c r="CF35" s="236">
        <v>0</v>
      </c>
      <c r="CG35" s="236">
        <v>0</v>
      </c>
      <c r="CH35" s="236">
        <v>0</v>
      </c>
      <c r="CI35" s="236">
        <v>56</v>
      </c>
      <c r="CJ35" s="236">
        <v>56</v>
      </c>
      <c r="CK35" s="236">
        <v>36</v>
      </c>
      <c r="CL35" s="236">
        <v>20</v>
      </c>
      <c r="CM35" s="236">
        <v>0</v>
      </c>
      <c r="CN35" s="236">
        <v>0</v>
      </c>
      <c r="CO35" s="236">
        <v>2</v>
      </c>
      <c r="CP35" s="236">
        <v>2</v>
      </c>
      <c r="CQ35" s="236">
        <v>2</v>
      </c>
      <c r="CR35" s="236">
        <v>0</v>
      </c>
      <c r="CS35" s="236">
        <v>0</v>
      </c>
      <c r="CT35" s="236">
        <v>33</v>
      </c>
      <c r="CU35" s="236">
        <v>32</v>
      </c>
      <c r="CV35" s="236">
        <v>32</v>
      </c>
      <c r="CX35" s="236">
        <f t="shared" si="1"/>
        <v>59</v>
      </c>
      <c r="CY35" s="236">
        <f t="shared" si="5"/>
        <v>58</v>
      </c>
      <c r="CZ35" s="236">
        <f t="shared" si="3"/>
        <v>55</v>
      </c>
    </row>
    <row r="36" ht="18" customHeight="1" spans="1:104">
      <c r="A36" s="235" t="s">
        <v>111</v>
      </c>
      <c r="B36" s="236">
        <v>0</v>
      </c>
      <c r="C36" s="236">
        <v>0</v>
      </c>
      <c r="D36" s="236">
        <v>0</v>
      </c>
      <c r="E36" s="236">
        <v>0</v>
      </c>
      <c r="F36" s="236">
        <v>0</v>
      </c>
      <c r="G36" s="236">
        <v>0</v>
      </c>
      <c r="H36" s="236">
        <v>0</v>
      </c>
      <c r="I36" s="236">
        <v>0</v>
      </c>
      <c r="J36" s="236">
        <v>0</v>
      </c>
      <c r="K36" s="236">
        <v>0</v>
      </c>
      <c r="L36" s="236">
        <v>2</v>
      </c>
      <c r="M36" s="236">
        <v>0</v>
      </c>
      <c r="N36" s="236">
        <v>0</v>
      </c>
      <c r="O36" s="236">
        <v>0</v>
      </c>
      <c r="P36" s="236">
        <v>0</v>
      </c>
      <c r="Q36" s="236">
        <v>0</v>
      </c>
      <c r="R36" s="236">
        <v>0</v>
      </c>
      <c r="S36" s="236">
        <v>0</v>
      </c>
      <c r="T36" s="236">
        <v>0</v>
      </c>
      <c r="U36" s="236">
        <v>1826</v>
      </c>
      <c r="V36" s="236">
        <v>227</v>
      </c>
      <c r="W36" s="236">
        <v>148</v>
      </c>
      <c r="X36" s="236">
        <v>10</v>
      </c>
      <c r="Y36" s="236">
        <v>0</v>
      </c>
      <c r="Z36" s="236">
        <v>0</v>
      </c>
      <c r="AA36" s="236">
        <v>60</v>
      </c>
      <c r="AB36" s="236">
        <v>23</v>
      </c>
      <c r="AC36" s="236">
        <v>12</v>
      </c>
      <c r="AD36" s="236">
        <v>0</v>
      </c>
      <c r="AE36" s="236">
        <v>0</v>
      </c>
      <c r="AF36" s="236">
        <v>0</v>
      </c>
      <c r="AG36" s="236">
        <v>0</v>
      </c>
      <c r="AH36" s="236">
        <v>0</v>
      </c>
      <c r="AI36" s="236">
        <v>0</v>
      </c>
      <c r="AJ36" s="236">
        <v>0</v>
      </c>
      <c r="AK36" s="236">
        <v>0</v>
      </c>
      <c r="AL36" s="236">
        <v>0</v>
      </c>
      <c r="AM36" s="236">
        <v>0</v>
      </c>
      <c r="AN36" s="236">
        <v>0</v>
      </c>
      <c r="AO36" s="236">
        <v>0</v>
      </c>
      <c r="AP36" s="236">
        <v>0</v>
      </c>
      <c r="AQ36" s="236">
        <v>0</v>
      </c>
      <c r="AR36" s="236">
        <v>0</v>
      </c>
      <c r="AS36" s="236">
        <v>0</v>
      </c>
      <c r="AT36" s="236">
        <v>0</v>
      </c>
      <c r="AU36" s="236">
        <v>0</v>
      </c>
      <c r="AV36" s="236">
        <v>0</v>
      </c>
      <c r="AW36" s="236">
        <v>0</v>
      </c>
      <c r="AX36" s="236">
        <v>0</v>
      </c>
      <c r="AY36" s="236">
        <v>0</v>
      </c>
      <c r="AZ36" s="236">
        <v>12</v>
      </c>
      <c r="BA36" s="236">
        <v>12</v>
      </c>
      <c r="BB36" s="236">
        <v>12</v>
      </c>
      <c r="BC36" s="236">
        <v>92</v>
      </c>
      <c r="BD36" s="236">
        <v>91</v>
      </c>
      <c r="BE36" s="236">
        <v>90</v>
      </c>
      <c r="BF36" s="236">
        <v>5</v>
      </c>
      <c r="BG36" s="236">
        <v>0</v>
      </c>
      <c r="BH36" s="236">
        <v>0</v>
      </c>
      <c r="BI36" s="236">
        <v>0</v>
      </c>
      <c r="BJ36" s="236">
        <v>0</v>
      </c>
      <c r="BK36" s="236">
        <v>0</v>
      </c>
      <c r="BL36" s="236">
        <v>0</v>
      </c>
      <c r="BM36" s="236">
        <v>0</v>
      </c>
      <c r="BN36" s="236">
        <v>0</v>
      </c>
      <c r="BO36" s="236">
        <v>0</v>
      </c>
      <c r="BP36" s="236">
        <v>0</v>
      </c>
      <c r="BQ36" s="236">
        <v>0</v>
      </c>
      <c r="BR36" s="236">
        <v>0</v>
      </c>
      <c r="BS36" s="236">
        <v>0</v>
      </c>
      <c r="BT36" s="236">
        <v>0</v>
      </c>
      <c r="BU36" s="236">
        <v>0</v>
      </c>
      <c r="BV36" s="236">
        <v>0</v>
      </c>
      <c r="BW36" s="236">
        <v>0</v>
      </c>
      <c r="BX36" s="236">
        <v>0</v>
      </c>
      <c r="BY36" s="236">
        <v>0</v>
      </c>
      <c r="BZ36" s="236">
        <v>0</v>
      </c>
      <c r="CA36" s="236">
        <v>0</v>
      </c>
      <c r="CB36" s="236">
        <v>0</v>
      </c>
      <c r="CC36" s="236">
        <v>0</v>
      </c>
      <c r="CD36" s="236">
        <v>0</v>
      </c>
      <c r="CE36" s="236">
        <v>0</v>
      </c>
      <c r="CF36" s="236">
        <v>0</v>
      </c>
      <c r="CG36" s="236">
        <v>0</v>
      </c>
      <c r="CH36" s="236">
        <v>0</v>
      </c>
      <c r="CI36" s="236">
        <v>60</v>
      </c>
      <c r="CJ36" s="236">
        <v>60</v>
      </c>
      <c r="CK36" s="236">
        <v>37</v>
      </c>
      <c r="CL36" s="236">
        <v>23</v>
      </c>
      <c r="CM36" s="236">
        <v>0</v>
      </c>
      <c r="CN36" s="236">
        <v>0</v>
      </c>
      <c r="CO36" s="236">
        <v>2</v>
      </c>
      <c r="CP36" s="236">
        <v>2</v>
      </c>
      <c r="CQ36" s="236">
        <v>2</v>
      </c>
      <c r="CR36" s="236">
        <v>0</v>
      </c>
      <c r="CS36" s="236">
        <v>0</v>
      </c>
      <c r="CT36" s="236">
        <v>33</v>
      </c>
      <c r="CU36" s="236">
        <v>32</v>
      </c>
      <c r="CV36" s="236">
        <v>32</v>
      </c>
      <c r="CX36" s="236">
        <f t="shared" si="1"/>
        <v>59</v>
      </c>
      <c r="CY36" s="236">
        <f t="shared" si="5"/>
        <v>59</v>
      </c>
      <c r="CZ36" s="236">
        <f t="shared" si="3"/>
        <v>58</v>
      </c>
    </row>
    <row r="37" ht="18" customHeight="1" spans="1:104">
      <c r="A37" s="235" t="s">
        <v>112</v>
      </c>
      <c r="B37" s="236">
        <v>0</v>
      </c>
      <c r="C37" s="236">
        <v>0</v>
      </c>
      <c r="D37" s="236">
        <v>0</v>
      </c>
      <c r="E37" s="236">
        <v>0</v>
      </c>
      <c r="F37" s="236">
        <v>0</v>
      </c>
      <c r="G37" s="236">
        <v>0</v>
      </c>
      <c r="H37" s="236">
        <v>0</v>
      </c>
      <c r="I37" s="236">
        <v>0</v>
      </c>
      <c r="J37" s="236">
        <v>0</v>
      </c>
      <c r="K37" s="236">
        <v>0</v>
      </c>
      <c r="L37" s="236">
        <v>0</v>
      </c>
      <c r="M37" s="236">
        <v>0</v>
      </c>
      <c r="N37" s="236">
        <v>0</v>
      </c>
      <c r="O37" s="236">
        <v>0</v>
      </c>
      <c r="P37" s="236">
        <v>0</v>
      </c>
      <c r="Q37" s="236">
        <v>0</v>
      </c>
      <c r="R37" s="236">
        <v>0</v>
      </c>
      <c r="S37" s="236">
        <v>0</v>
      </c>
      <c r="T37" s="236">
        <v>0</v>
      </c>
      <c r="U37" s="236">
        <v>1721</v>
      </c>
      <c r="V37" s="236">
        <v>228</v>
      </c>
      <c r="W37" s="236">
        <v>129</v>
      </c>
      <c r="X37" s="236">
        <v>19</v>
      </c>
      <c r="Y37" s="236">
        <v>0</v>
      </c>
      <c r="Z37" s="236">
        <v>0</v>
      </c>
      <c r="AA37" s="236">
        <v>72</v>
      </c>
      <c r="AB37" s="236">
        <v>22</v>
      </c>
      <c r="AC37" s="236">
        <v>7</v>
      </c>
      <c r="AD37" s="236">
        <v>0</v>
      </c>
      <c r="AE37" s="236">
        <v>0</v>
      </c>
      <c r="AF37" s="236">
        <v>0</v>
      </c>
      <c r="AG37" s="236">
        <v>0</v>
      </c>
      <c r="AH37" s="236">
        <v>0</v>
      </c>
      <c r="AI37" s="236">
        <v>0</v>
      </c>
      <c r="AJ37" s="236">
        <v>0</v>
      </c>
      <c r="AK37" s="236">
        <v>0</v>
      </c>
      <c r="AL37" s="236">
        <v>0</v>
      </c>
      <c r="AM37" s="236">
        <v>0</v>
      </c>
      <c r="AN37" s="236">
        <v>0</v>
      </c>
      <c r="AO37" s="236">
        <v>0</v>
      </c>
      <c r="AP37" s="236">
        <v>0</v>
      </c>
      <c r="AQ37" s="236">
        <v>0</v>
      </c>
      <c r="AR37" s="236">
        <v>0</v>
      </c>
      <c r="AS37" s="236">
        <v>0</v>
      </c>
      <c r="AT37" s="236">
        <v>0</v>
      </c>
      <c r="AU37" s="236">
        <v>0</v>
      </c>
      <c r="AV37" s="236">
        <v>0</v>
      </c>
      <c r="AW37" s="236">
        <v>0</v>
      </c>
      <c r="AX37" s="236">
        <v>0</v>
      </c>
      <c r="AY37" s="236">
        <v>0</v>
      </c>
      <c r="AZ37" s="236">
        <v>12</v>
      </c>
      <c r="BA37" s="236">
        <v>12</v>
      </c>
      <c r="BB37" s="236">
        <v>12</v>
      </c>
      <c r="BC37" s="236">
        <v>92</v>
      </c>
      <c r="BD37" s="236">
        <v>92</v>
      </c>
      <c r="BE37" s="236">
        <v>91</v>
      </c>
      <c r="BF37" s="236">
        <v>2</v>
      </c>
      <c r="BG37" s="236">
        <v>0</v>
      </c>
      <c r="BH37" s="236">
        <v>0</v>
      </c>
      <c r="BI37" s="236">
        <v>0</v>
      </c>
      <c r="BJ37" s="236">
        <v>0</v>
      </c>
      <c r="BK37" s="236">
        <v>0</v>
      </c>
      <c r="BL37" s="236">
        <v>0</v>
      </c>
      <c r="BM37" s="236">
        <v>0</v>
      </c>
      <c r="BN37" s="236">
        <v>0</v>
      </c>
      <c r="BO37" s="236">
        <v>0</v>
      </c>
      <c r="BP37" s="236">
        <v>0</v>
      </c>
      <c r="BQ37" s="236">
        <v>0</v>
      </c>
      <c r="BR37" s="236">
        <v>0</v>
      </c>
      <c r="BS37" s="236">
        <v>0</v>
      </c>
      <c r="BT37" s="236">
        <v>0</v>
      </c>
      <c r="BU37" s="236">
        <v>0</v>
      </c>
      <c r="BV37" s="236">
        <v>0</v>
      </c>
      <c r="BW37" s="236">
        <v>0</v>
      </c>
      <c r="BX37" s="236">
        <v>0</v>
      </c>
      <c r="BY37" s="236">
        <v>0</v>
      </c>
      <c r="BZ37" s="236">
        <v>0</v>
      </c>
      <c r="CA37" s="236">
        <v>0</v>
      </c>
      <c r="CB37" s="236">
        <v>0</v>
      </c>
      <c r="CC37" s="236">
        <v>0</v>
      </c>
      <c r="CD37" s="236">
        <v>0</v>
      </c>
      <c r="CE37" s="236">
        <v>0</v>
      </c>
      <c r="CF37" s="236">
        <v>0</v>
      </c>
      <c r="CG37" s="236">
        <v>0</v>
      </c>
      <c r="CH37" s="236">
        <v>0</v>
      </c>
      <c r="CI37" s="236">
        <v>72</v>
      </c>
      <c r="CJ37" s="236">
        <v>72</v>
      </c>
      <c r="CK37" s="236">
        <v>50</v>
      </c>
      <c r="CL37" s="236">
        <v>22</v>
      </c>
      <c r="CM37" s="236">
        <v>0</v>
      </c>
      <c r="CN37" s="236">
        <v>0</v>
      </c>
      <c r="CO37" s="236">
        <v>0</v>
      </c>
      <c r="CP37" s="236">
        <v>0</v>
      </c>
      <c r="CQ37" s="236">
        <v>0</v>
      </c>
      <c r="CR37" s="236">
        <v>0</v>
      </c>
      <c r="CS37" s="236">
        <v>0</v>
      </c>
      <c r="CT37" s="236">
        <v>33</v>
      </c>
      <c r="CU37" s="236">
        <v>33</v>
      </c>
      <c r="CV37" s="236">
        <v>32</v>
      </c>
      <c r="CX37" s="236">
        <f t="shared" si="1"/>
        <v>59</v>
      </c>
      <c r="CY37" s="236">
        <f t="shared" si="5"/>
        <v>59</v>
      </c>
      <c r="CZ37" s="236">
        <f t="shared" si="3"/>
        <v>59</v>
      </c>
    </row>
    <row r="38" ht="18" customHeight="1" spans="1:104">
      <c r="A38" s="235" t="s">
        <v>113</v>
      </c>
      <c r="B38" s="236">
        <v>0</v>
      </c>
      <c r="C38" s="236">
        <v>0</v>
      </c>
      <c r="D38" s="236">
        <v>0</v>
      </c>
      <c r="E38" s="236">
        <v>0</v>
      </c>
      <c r="F38" s="236">
        <v>0</v>
      </c>
      <c r="G38" s="236">
        <v>0</v>
      </c>
      <c r="H38" s="236">
        <v>0</v>
      </c>
      <c r="I38" s="236">
        <v>0</v>
      </c>
      <c r="J38" s="236">
        <v>0</v>
      </c>
      <c r="K38" s="236">
        <v>0</v>
      </c>
      <c r="L38" s="236">
        <v>0</v>
      </c>
      <c r="M38" s="236">
        <v>0</v>
      </c>
      <c r="N38" s="236">
        <v>0</v>
      </c>
      <c r="O38" s="236">
        <v>0</v>
      </c>
      <c r="P38" s="236">
        <v>0</v>
      </c>
      <c r="Q38" s="236">
        <v>0</v>
      </c>
      <c r="R38" s="236">
        <v>0</v>
      </c>
      <c r="S38" s="236">
        <v>0</v>
      </c>
      <c r="T38" s="236">
        <v>0</v>
      </c>
      <c r="U38" s="236">
        <v>1871</v>
      </c>
      <c r="V38" s="236">
        <v>219</v>
      </c>
      <c r="W38" s="236">
        <v>191</v>
      </c>
      <c r="X38" s="236">
        <v>11</v>
      </c>
      <c r="Y38" s="236">
        <v>0</v>
      </c>
      <c r="Z38" s="236">
        <v>0</v>
      </c>
      <c r="AA38" s="236">
        <v>64</v>
      </c>
      <c r="AB38" s="236">
        <v>24</v>
      </c>
      <c r="AC38" s="236">
        <v>13</v>
      </c>
      <c r="AD38" s="236">
        <v>0</v>
      </c>
      <c r="AE38" s="236">
        <v>0</v>
      </c>
      <c r="AF38" s="236">
        <v>0</v>
      </c>
      <c r="AG38" s="236">
        <v>0</v>
      </c>
      <c r="AH38" s="236">
        <v>0</v>
      </c>
      <c r="AI38" s="236">
        <v>0</v>
      </c>
      <c r="AJ38" s="236">
        <v>0</v>
      </c>
      <c r="AK38" s="236">
        <v>0</v>
      </c>
      <c r="AL38" s="236">
        <v>0</v>
      </c>
      <c r="AM38" s="236">
        <v>0</v>
      </c>
      <c r="AN38" s="236">
        <v>0</v>
      </c>
      <c r="AO38" s="236">
        <v>0</v>
      </c>
      <c r="AP38" s="236">
        <v>0</v>
      </c>
      <c r="AQ38" s="236">
        <v>0</v>
      </c>
      <c r="AR38" s="236">
        <v>0</v>
      </c>
      <c r="AS38" s="236">
        <v>0</v>
      </c>
      <c r="AT38" s="236">
        <v>0</v>
      </c>
      <c r="AU38" s="236">
        <v>0</v>
      </c>
      <c r="AV38" s="236">
        <v>0</v>
      </c>
      <c r="AW38" s="236">
        <v>0</v>
      </c>
      <c r="AX38" s="236">
        <v>0</v>
      </c>
      <c r="AY38" s="236">
        <v>0</v>
      </c>
      <c r="AZ38" s="236">
        <v>12</v>
      </c>
      <c r="BA38" s="236">
        <v>12</v>
      </c>
      <c r="BB38" s="236">
        <v>12</v>
      </c>
      <c r="BC38" s="236">
        <v>92</v>
      </c>
      <c r="BD38" s="236">
        <v>92</v>
      </c>
      <c r="BE38" s="236">
        <v>91</v>
      </c>
      <c r="BF38" s="236">
        <v>0</v>
      </c>
      <c r="BG38" s="236">
        <v>0</v>
      </c>
      <c r="BH38" s="236">
        <v>0</v>
      </c>
      <c r="BI38" s="236">
        <v>0</v>
      </c>
      <c r="BJ38" s="236">
        <v>0</v>
      </c>
      <c r="BK38" s="236">
        <v>0</v>
      </c>
      <c r="BL38" s="236">
        <v>0</v>
      </c>
      <c r="BM38" s="236">
        <v>0</v>
      </c>
      <c r="BN38" s="236">
        <v>0</v>
      </c>
      <c r="BO38" s="236">
        <v>0</v>
      </c>
      <c r="BP38" s="236">
        <v>0</v>
      </c>
      <c r="BQ38" s="236">
        <v>0</v>
      </c>
      <c r="BR38" s="236">
        <v>0</v>
      </c>
      <c r="BS38" s="236">
        <v>0</v>
      </c>
      <c r="BT38" s="236">
        <v>0</v>
      </c>
      <c r="BU38" s="236">
        <v>0</v>
      </c>
      <c r="BV38" s="236">
        <v>0</v>
      </c>
      <c r="BW38" s="236">
        <v>0</v>
      </c>
      <c r="BX38" s="236">
        <v>0</v>
      </c>
      <c r="BY38" s="236">
        <v>0</v>
      </c>
      <c r="BZ38" s="236">
        <v>0</v>
      </c>
      <c r="CA38" s="236">
        <v>0</v>
      </c>
      <c r="CB38" s="236">
        <v>0</v>
      </c>
      <c r="CC38" s="236">
        <v>0</v>
      </c>
      <c r="CD38" s="236">
        <v>0</v>
      </c>
      <c r="CE38" s="236">
        <v>0</v>
      </c>
      <c r="CF38" s="236">
        <v>0</v>
      </c>
      <c r="CG38" s="236">
        <v>0</v>
      </c>
      <c r="CH38" s="236">
        <v>0</v>
      </c>
      <c r="CI38" s="236">
        <v>64</v>
      </c>
      <c r="CJ38" s="236">
        <v>64</v>
      </c>
      <c r="CK38" s="236">
        <v>40</v>
      </c>
      <c r="CL38" s="236">
        <v>24</v>
      </c>
      <c r="CM38" s="236">
        <v>0</v>
      </c>
      <c r="CN38" s="236">
        <v>0</v>
      </c>
      <c r="CO38" s="236">
        <v>0</v>
      </c>
      <c r="CP38" s="236">
        <v>0</v>
      </c>
      <c r="CQ38" s="236">
        <v>0</v>
      </c>
      <c r="CR38" s="236">
        <v>0</v>
      </c>
      <c r="CS38" s="236">
        <v>0</v>
      </c>
      <c r="CT38" s="236">
        <v>33</v>
      </c>
      <c r="CU38" s="236">
        <v>33</v>
      </c>
      <c r="CV38" s="236">
        <v>33</v>
      </c>
      <c r="CX38" s="236">
        <f t="shared" si="1"/>
        <v>59</v>
      </c>
      <c r="CY38" s="236">
        <f t="shared" si="5"/>
        <v>59</v>
      </c>
      <c r="CZ38" s="236">
        <f t="shared" si="3"/>
        <v>58</v>
      </c>
    </row>
    <row r="39" ht="18" customHeight="1" spans="1:104">
      <c r="A39" s="235" t="s">
        <v>114</v>
      </c>
      <c r="B39" s="236">
        <v>0</v>
      </c>
      <c r="C39" s="236">
        <v>0</v>
      </c>
      <c r="D39" s="236">
        <v>0</v>
      </c>
      <c r="E39" s="236">
        <v>0</v>
      </c>
      <c r="F39" s="236">
        <v>0</v>
      </c>
      <c r="G39" s="236">
        <v>0</v>
      </c>
      <c r="H39" s="236">
        <v>0</v>
      </c>
      <c r="I39" s="236">
        <v>0</v>
      </c>
      <c r="J39" s="236">
        <v>0</v>
      </c>
      <c r="K39" s="236">
        <v>0</v>
      </c>
      <c r="L39" s="236">
        <v>1</v>
      </c>
      <c r="M39" s="236">
        <v>0</v>
      </c>
      <c r="N39" s="236">
        <v>0</v>
      </c>
      <c r="O39" s="236">
        <v>0</v>
      </c>
      <c r="P39" s="236">
        <v>0</v>
      </c>
      <c r="Q39" s="236">
        <v>0</v>
      </c>
      <c r="R39" s="236">
        <v>0</v>
      </c>
      <c r="S39" s="236">
        <v>0</v>
      </c>
      <c r="T39" s="236">
        <v>0</v>
      </c>
      <c r="U39" s="236">
        <v>1928</v>
      </c>
      <c r="V39" s="236">
        <v>229</v>
      </c>
      <c r="W39" s="236">
        <v>203</v>
      </c>
      <c r="X39" s="236">
        <v>13</v>
      </c>
      <c r="Y39" s="236">
        <v>0</v>
      </c>
      <c r="Z39" s="236">
        <v>0</v>
      </c>
      <c r="AA39" s="236">
        <v>89</v>
      </c>
      <c r="AB39" s="236">
        <v>29</v>
      </c>
      <c r="AC39" s="236">
        <v>12</v>
      </c>
      <c r="AD39" s="236">
        <v>0</v>
      </c>
      <c r="AE39" s="236">
        <v>0</v>
      </c>
      <c r="AF39" s="236">
        <v>0</v>
      </c>
      <c r="AG39" s="236">
        <v>0</v>
      </c>
      <c r="AH39" s="236">
        <v>0</v>
      </c>
      <c r="AI39" s="236">
        <v>0</v>
      </c>
      <c r="AJ39" s="236">
        <v>0</v>
      </c>
      <c r="AK39" s="236">
        <v>0</v>
      </c>
      <c r="AL39" s="236">
        <v>0</v>
      </c>
      <c r="AM39" s="236">
        <v>0</v>
      </c>
      <c r="AN39" s="236">
        <v>0</v>
      </c>
      <c r="AO39" s="236">
        <v>0</v>
      </c>
      <c r="AP39" s="236">
        <v>0</v>
      </c>
      <c r="AQ39" s="236">
        <v>0</v>
      </c>
      <c r="AR39" s="236">
        <v>0</v>
      </c>
      <c r="AS39" s="236">
        <v>0</v>
      </c>
      <c r="AT39" s="236">
        <v>0</v>
      </c>
      <c r="AU39" s="236">
        <v>0</v>
      </c>
      <c r="AV39" s="236">
        <v>0</v>
      </c>
      <c r="AW39" s="236">
        <v>0</v>
      </c>
      <c r="AX39" s="236">
        <v>0</v>
      </c>
      <c r="AY39" s="236">
        <v>0</v>
      </c>
      <c r="AZ39" s="236">
        <v>12</v>
      </c>
      <c r="BA39" s="236">
        <v>12</v>
      </c>
      <c r="BB39" s="236">
        <v>12</v>
      </c>
      <c r="BC39" s="236">
        <v>92</v>
      </c>
      <c r="BD39" s="236">
        <v>92</v>
      </c>
      <c r="BE39" s="236">
        <v>91</v>
      </c>
      <c r="BF39" s="236">
        <v>4</v>
      </c>
      <c r="BG39" s="236">
        <v>0</v>
      </c>
      <c r="BH39" s="236">
        <v>0</v>
      </c>
      <c r="BI39" s="236">
        <v>0</v>
      </c>
      <c r="BJ39" s="236">
        <v>0</v>
      </c>
      <c r="BK39" s="236">
        <v>0</v>
      </c>
      <c r="BL39" s="236">
        <v>0</v>
      </c>
      <c r="BM39" s="236">
        <v>0</v>
      </c>
      <c r="BN39" s="236">
        <v>0</v>
      </c>
      <c r="BO39" s="236">
        <v>0</v>
      </c>
      <c r="BP39" s="236">
        <v>0</v>
      </c>
      <c r="BQ39" s="236">
        <v>0</v>
      </c>
      <c r="BR39" s="236">
        <v>0</v>
      </c>
      <c r="BS39" s="236">
        <v>0</v>
      </c>
      <c r="BT39" s="236">
        <v>0</v>
      </c>
      <c r="BU39" s="236">
        <v>0</v>
      </c>
      <c r="BV39" s="236">
        <v>0</v>
      </c>
      <c r="BW39" s="236">
        <v>0</v>
      </c>
      <c r="BX39" s="236">
        <v>0</v>
      </c>
      <c r="BY39" s="236">
        <v>0</v>
      </c>
      <c r="BZ39" s="236">
        <v>0</v>
      </c>
      <c r="CA39" s="236">
        <v>0</v>
      </c>
      <c r="CB39" s="236">
        <v>0</v>
      </c>
      <c r="CC39" s="236">
        <v>0</v>
      </c>
      <c r="CD39" s="236">
        <v>0</v>
      </c>
      <c r="CE39" s="236">
        <v>0</v>
      </c>
      <c r="CF39" s="236">
        <v>0</v>
      </c>
      <c r="CG39" s="236">
        <v>0</v>
      </c>
      <c r="CH39" s="236">
        <v>0</v>
      </c>
      <c r="CI39" s="236">
        <v>89</v>
      </c>
      <c r="CJ39" s="236">
        <v>89</v>
      </c>
      <c r="CK39" s="236">
        <v>60</v>
      </c>
      <c r="CL39" s="236">
        <v>29</v>
      </c>
      <c r="CM39" s="236">
        <v>0</v>
      </c>
      <c r="CN39" s="236">
        <v>0</v>
      </c>
      <c r="CO39" s="236">
        <v>1</v>
      </c>
      <c r="CP39" s="236">
        <v>1</v>
      </c>
      <c r="CQ39" s="236">
        <v>1</v>
      </c>
      <c r="CR39" s="236">
        <v>0</v>
      </c>
      <c r="CS39" s="236">
        <v>0</v>
      </c>
      <c r="CT39" s="236">
        <v>33</v>
      </c>
      <c r="CU39" s="236">
        <v>33</v>
      </c>
      <c r="CV39" s="236">
        <v>32</v>
      </c>
      <c r="CX39" s="236">
        <f t="shared" si="1"/>
        <v>59</v>
      </c>
      <c r="CY39" s="236">
        <f t="shared" si="5"/>
        <v>59</v>
      </c>
      <c r="CZ39" s="236">
        <f t="shared" si="3"/>
        <v>59</v>
      </c>
    </row>
    <row r="40" ht="18" customHeight="1" spans="1:104">
      <c r="A40" s="235" t="s">
        <v>115</v>
      </c>
      <c r="B40" s="236">
        <v>0</v>
      </c>
      <c r="C40" s="236">
        <v>0</v>
      </c>
      <c r="D40" s="236">
        <v>0</v>
      </c>
      <c r="E40" s="236">
        <v>0</v>
      </c>
      <c r="F40" s="236">
        <v>0</v>
      </c>
      <c r="G40" s="236">
        <v>0</v>
      </c>
      <c r="H40" s="236">
        <v>0</v>
      </c>
      <c r="I40" s="236">
        <v>0</v>
      </c>
      <c r="J40" s="236">
        <v>0</v>
      </c>
      <c r="K40" s="236">
        <v>0</v>
      </c>
      <c r="L40" s="236">
        <v>1</v>
      </c>
      <c r="M40" s="236">
        <v>0</v>
      </c>
      <c r="N40" s="236">
        <v>0</v>
      </c>
      <c r="O40" s="236">
        <v>0</v>
      </c>
      <c r="P40" s="236">
        <v>0</v>
      </c>
      <c r="Q40" s="236">
        <v>0</v>
      </c>
      <c r="R40" s="236">
        <v>0</v>
      </c>
      <c r="S40" s="236">
        <v>0</v>
      </c>
      <c r="T40" s="236">
        <v>0</v>
      </c>
      <c r="U40" s="236">
        <v>1971</v>
      </c>
      <c r="V40" s="236">
        <v>286</v>
      </c>
      <c r="W40" s="236">
        <v>139</v>
      </c>
      <c r="X40" s="236">
        <v>6</v>
      </c>
      <c r="Y40" s="236">
        <v>0</v>
      </c>
      <c r="Z40" s="236">
        <v>0</v>
      </c>
      <c r="AA40" s="236">
        <v>100</v>
      </c>
      <c r="AB40" s="236">
        <v>26</v>
      </c>
      <c r="AC40" s="236">
        <v>15</v>
      </c>
      <c r="AD40" s="236">
        <v>0</v>
      </c>
      <c r="AE40" s="236">
        <v>0</v>
      </c>
      <c r="AF40" s="236">
        <v>0</v>
      </c>
      <c r="AG40" s="236">
        <v>0</v>
      </c>
      <c r="AH40" s="236">
        <v>0</v>
      </c>
      <c r="AI40" s="236">
        <v>0</v>
      </c>
      <c r="AJ40" s="236">
        <v>0</v>
      </c>
      <c r="AK40" s="236">
        <v>0</v>
      </c>
      <c r="AL40" s="236">
        <v>0</v>
      </c>
      <c r="AM40" s="236">
        <v>0</v>
      </c>
      <c r="AN40" s="236">
        <v>0</v>
      </c>
      <c r="AO40" s="236">
        <v>0</v>
      </c>
      <c r="AP40" s="236">
        <v>0</v>
      </c>
      <c r="AQ40" s="236">
        <v>0</v>
      </c>
      <c r="AR40" s="236">
        <v>0</v>
      </c>
      <c r="AS40" s="236">
        <v>0</v>
      </c>
      <c r="AT40" s="236">
        <v>0</v>
      </c>
      <c r="AU40" s="236">
        <v>0</v>
      </c>
      <c r="AV40" s="236">
        <v>0</v>
      </c>
      <c r="AW40" s="236">
        <v>0</v>
      </c>
      <c r="AX40" s="236">
        <v>0</v>
      </c>
      <c r="AY40" s="236">
        <v>0</v>
      </c>
      <c r="AZ40" s="236">
        <v>12</v>
      </c>
      <c r="BA40" s="236">
        <v>12</v>
      </c>
      <c r="BB40" s="236">
        <v>12</v>
      </c>
      <c r="BC40" s="236">
        <v>92</v>
      </c>
      <c r="BD40" s="236">
        <v>91</v>
      </c>
      <c r="BE40" s="236">
        <v>89</v>
      </c>
      <c r="BF40" s="236">
        <v>1</v>
      </c>
      <c r="BG40" s="236">
        <v>0</v>
      </c>
      <c r="BH40" s="236">
        <v>0</v>
      </c>
      <c r="BI40" s="236">
        <v>0</v>
      </c>
      <c r="BJ40" s="236">
        <v>0</v>
      </c>
      <c r="BK40" s="236">
        <v>0</v>
      </c>
      <c r="BL40" s="236">
        <v>0</v>
      </c>
      <c r="BM40" s="236">
        <v>0</v>
      </c>
      <c r="BN40" s="236">
        <v>0</v>
      </c>
      <c r="BO40" s="236">
        <v>0</v>
      </c>
      <c r="BP40" s="236">
        <v>0</v>
      </c>
      <c r="BQ40" s="236">
        <v>0</v>
      </c>
      <c r="BR40" s="236">
        <v>0</v>
      </c>
      <c r="BS40" s="236">
        <v>0</v>
      </c>
      <c r="BT40" s="236">
        <v>0</v>
      </c>
      <c r="BU40" s="236">
        <v>0</v>
      </c>
      <c r="BV40" s="236">
        <v>0</v>
      </c>
      <c r="BW40" s="236">
        <v>0</v>
      </c>
      <c r="BX40" s="236">
        <v>0</v>
      </c>
      <c r="BY40" s="236">
        <v>0</v>
      </c>
      <c r="BZ40" s="236">
        <v>0</v>
      </c>
      <c r="CA40" s="236">
        <v>0</v>
      </c>
      <c r="CB40" s="236">
        <v>0</v>
      </c>
      <c r="CC40" s="236">
        <v>0</v>
      </c>
      <c r="CD40" s="236">
        <v>0</v>
      </c>
      <c r="CE40" s="236">
        <v>0</v>
      </c>
      <c r="CF40" s="236">
        <v>0</v>
      </c>
      <c r="CG40" s="236">
        <v>0</v>
      </c>
      <c r="CH40" s="236">
        <v>0</v>
      </c>
      <c r="CI40" s="236">
        <f t="shared" ref="CI40" si="6">AA40</f>
        <v>100</v>
      </c>
      <c r="CJ40" s="236">
        <v>100</v>
      </c>
      <c r="CK40" s="236">
        <v>74</v>
      </c>
      <c r="CL40" s="236">
        <v>26</v>
      </c>
      <c r="CM40" s="236">
        <v>0</v>
      </c>
      <c r="CN40" s="236">
        <v>0</v>
      </c>
      <c r="CO40" s="236">
        <v>1</v>
      </c>
      <c r="CP40" s="236">
        <v>1</v>
      </c>
      <c r="CQ40" s="236">
        <v>1</v>
      </c>
      <c r="CR40" s="236">
        <v>0</v>
      </c>
      <c r="CS40" s="236">
        <v>0</v>
      </c>
      <c r="CT40" s="236">
        <v>33</v>
      </c>
      <c r="CU40" s="236">
        <v>33</v>
      </c>
      <c r="CV40" s="236">
        <v>33</v>
      </c>
      <c r="CX40" s="236">
        <f t="shared" si="1"/>
        <v>59</v>
      </c>
      <c r="CY40" s="236">
        <f t="shared" si="5"/>
        <v>58</v>
      </c>
      <c r="CZ40" s="236">
        <f t="shared" si="3"/>
        <v>56</v>
      </c>
    </row>
    <row r="41" ht="18" customHeight="1" spans="1:104">
      <c r="A41" s="235" t="s">
        <v>116</v>
      </c>
      <c r="B41" s="236">
        <v>0</v>
      </c>
      <c r="C41" s="236">
        <v>0</v>
      </c>
      <c r="D41" s="236">
        <v>0</v>
      </c>
      <c r="E41" s="236">
        <v>0</v>
      </c>
      <c r="F41" s="236">
        <v>0</v>
      </c>
      <c r="G41" s="236">
        <v>0</v>
      </c>
      <c r="H41" s="236">
        <v>0</v>
      </c>
      <c r="I41" s="236">
        <v>0</v>
      </c>
      <c r="J41" s="236">
        <v>1</v>
      </c>
      <c r="K41" s="236">
        <v>0</v>
      </c>
      <c r="L41" s="236">
        <v>0</v>
      </c>
      <c r="M41" s="236">
        <v>0</v>
      </c>
      <c r="N41" s="236">
        <v>0</v>
      </c>
      <c r="O41" s="236">
        <v>0</v>
      </c>
      <c r="P41" s="236">
        <v>0</v>
      </c>
      <c r="Q41" s="236">
        <v>0</v>
      </c>
      <c r="R41" s="236">
        <v>0</v>
      </c>
      <c r="S41" s="236">
        <v>0</v>
      </c>
      <c r="T41" s="236">
        <v>0</v>
      </c>
      <c r="U41" s="236">
        <v>2398</v>
      </c>
      <c r="V41" s="236">
        <v>424</v>
      </c>
      <c r="W41" s="236">
        <v>205</v>
      </c>
      <c r="X41" s="236">
        <v>11</v>
      </c>
      <c r="Y41" s="236">
        <v>0</v>
      </c>
      <c r="Z41" s="236">
        <v>0</v>
      </c>
      <c r="AA41" s="236">
        <v>86</v>
      </c>
      <c r="AB41" s="236">
        <v>24</v>
      </c>
      <c r="AC41" s="236">
        <v>11</v>
      </c>
      <c r="AD41" s="236">
        <v>0</v>
      </c>
      <c r="AE41" s="236">
        <v>0</v>
      </c>
      <c r="AF41" s="236">
        <v>0</v>
      </c>
      <c r="AG41" s="236">
        <v>0</v>
      </c>
      <c r="AH41" s="236">
        <v>0</v>
      </c>
      <c r="AI41" s="236">
        <v>0</v>
      </c>
      <c r="AJ41" s="236">
        <v>0</v>
      </c>
      <c r="AK41" s="236">
        <v>0</v>
      </c>
      <c r="AL41" s="236">
        <v>0</v>
      </c>
      <c r="AM41" s="236">
        <v>0</v>
      </c>
      <c r="AN41" s="236">
        <v>0</v>
      </c>
      <c r="AO41" s="236">
        <v>0</v>
      </c>
      <c r="AP41" s="236">
        <v>0</v>
      </c>
      <c r="AQ41" s="236">
        <v>0</v>
      </c>
      <c r="AR41" s="236">
        <v>0</v>
      </c>
      <c r="AS41" s="236">
        <v>0</v>
      </c>
      <c r="AT41" s="236">
        <v>0</v>
      </c>
      <c r="AU41" s="236">
        <v>0</v>
      </c>
      <c r="AV41" s="236">
        <v>0</v>
      </c>
      <c r="AW41" s="236">
        <v>0</v>
      </c>
      <c r="AX41" s="236">
        <v>0</v>
      </c>
      <c r="AY41" s="236">
        <v>0</v>
      </c>
      <c r="AZ41" s="236">
        <v>12</v>
      </c>
      <c r="BA41" s="236">
        <v>12</v>
      </c>
      <c r="BB41" s="236">
        <v>12</v>
      </c>
      <c r="BC41" s="236">
        <v>92</v>
      </c>
      <c r="BD41" s="236">
        <v>91</v>
      </c>
      <c r="BE41" s="236">
        <v>91</v>
      </c>
      <c r="BF41" s="236">
        <v>1</v>
      </c>
      <c r="BG41" s="236">
        <v>0</v>
      </c>
      <c r="BH41" s="236">
        <v>0</v>
      </c>
      <c r="BI41" s="236">
        <v>0</v>
      </c>
      <c r="BJ41" s="236">
        <v>0</v>
      </c>
      <c r="BK41" s="236">
        <v>0</v>
      </c>
      <c r="BL41" s="236">
        <v>0</v>
      </c>
      <c r="BM41" s="236">
        <v>0</v>
      </c>
      <c r="BN41" s="236">
        <v>0</v>
      </c>
      <c r="BO41" s="236">
        <v>0</v>
      </c>
      <c r="BP41" s="236">
        <v>0</v>
      </c>
      <c r="BQ41" s="236">
        <v>0</v>
      </c>
      <c r="BR41" s="236">
        <v>0</v>
      </c>
      <c r="BS41" s="236">
        <v>0</v>
      </c>
      <c r="BT41" s="236">
        <v>0</v>
      </c>
      <c r="BU41" s="236">
        <v>0</v>
      </c>
      <c r="BV41" s="236">
        <v>0</v>
      </c>
      <c r="BW41" s="236">
        <v>0</v>
      </c>
      <c r="BX41" s="236">
        <v>0</v>
      </c>
      <c r="BY41" s="236">
        <v>0</v>
      </c>
      <c r="BZ41" s="236">
        <v>0</v>
      </c>
      <c r="CA41" s="236">
        <v>0</v>
      </c>
      <c r="CB41" s="236">
        <v>0</v>
      </c>
      <c r="CC41" s="236">
        <v>0</v>
      </c>
      <c r="CD41" s="236">
        <v>0</v>
      </c>
      <c r="CE41" s="236">
        <v>0</v>
      </c>
      <c r="CF41" s="236">
        <v>0</v>
      </c>
      <c r="CG41" s="236">
        <v>0</v>
      </c>
      <c r="CH41" s="236">
        <v>0</v>
      </c>
      <c r="CI41" s="236">
        <v>86</v>
      </c>
      <c r="CJ41" s="236">
        <v>86</v>
      </c>
      <c r="CK41" s="236">
        <v>75</v>
      </c>
      <c r="CL41" s="236">
        <v>11</v>
      </c>
      <c r="CM41" s="236">
        <v>0</v>
      </c>
      <c r="CN41" s="236">
        <v>0</v>
      </c>
      <c r="CO41" s="236">
        <v>0</v>
      </c>
      <c r="CP41" s="236">
        <v>0</v>
      </c>
      <c r="CQ41" s="236">
        <v>0</v>
      </c>
      <c r="CR41" s="236">
        <v>1</v>
      </c>
      <c r="CS41" s="236">
        <v>1</v>
      </c>
      <c r="CT41" s="236">
        <v>33</v>
      </c>
      <c r="CU41" s="236">
        <v>33</v>
      </c>
      <c r="CV41" s="236">
        <v>33</v>
      </c>
      <c r="CX41" s="236">
        <f t="shared" si="1"/>
        <v>59</v>
      </c>
      <c r="CY41" s="236">
        <f t="shared" si="5"/>
        <v>58</v>
      </c>
      <c r="CZ41" s="236">
        <f t="shared" si="3"/>
        <v>58</v>
      </c>
    </row>
    <row r="42" ht="18" customHeight="1" spans="1:104">
      <c r="A42" s="235" t="s">
        <v>117</v>
      </c>
      <c r="B42" s="236">
        <v>0</v>
      </c>
      <c r="C42" s="236">
        <v>0</v>
      </c>
      <c r="D42" s="236">
        <v>0</v>
      </c>
      <c r="E42" s="236">
        <v>0</v>
      </c>
      <c r="F42" s="236">
        <v>0</v>
      </c>
      <c r="G42" s="236">
        <v>0</v>
      </c>
      <c r="H42" s="236">
        <v>0</v>
      </c>
      <c r="I42" s="236">
        <v>0</v>
      </c>
      <c r="J42" s="236">
        <v>0</v>
      </c>
      <c r="K42" s="236">
        <v>0</v>
      </c>
      <c r="L42" s="236">
        <v>1</v>
      </c>
      <c r="M42" s="236">
        <v>0</v>
      </c>
      <c r="N42" s="236">
        <v>0</v>
      </c>
      <c r="O42" s="236">
        <v>0</v>
      </c>
      <c r="P42" s="236">
        <v>0</v>
      </c>
      <c r="Q42" s="236">
        <v>0</v>
      </c>
      <c r="R42" s="236">
        <v>0</v>
      </c>
      <c r="S42" s="236">
        <v>0</v>
      </c>
      <c r="T42" s="236">
        <v>0</v>
      </c>
      <c r="U42" s="236">
        <v>2552</v>
      </c>
      <c r="V42" s="236">
        <v>341</v>
      </c>
      <c r="W42" s="236">
        <v>212</v>
      </c>
      <c r="X42" s="236">
        <v>25</v>
      </c>
      <c r="Y42" s="236">
        <v>0</v>
      </c>
      <c r="Z42" s="236">
        <v>0</v>
      </c>
      <c r="AA42" s="236">
        <v>147</v>
      </c>
      <c r="AB42" s="236">
        <v>50</v>
      </c>
      <c r="AC42" s="236">
        <v>13</v>
      </c>
      <c r="AD42" s="236">
        <v>0</v>
      </c>
      <c r="AE42" s="236">
        <v>0</v>
      </c>
      <c r="AF42" s="236">
        <v>0</v>
      </c>
      <c r="AG42" s="236">
        <v>0</v>
      </c>
      <c r="AH42" s="236">
        <v>0</v>
      </c>
      <c r="AI42" s="236">
        <v>0</v>
      </c>
      <c r="AJ42" s="236">
        <v>0</v>
      </c>
      <c r="AK42" s="236">
        <v>0</v>
      </c>
      <c r="AL42" s="236">
        <v>0</v>
      </c>
      <c r="AM42" s="236">
        <v>0</v>
      </c>
      <c r="AN42" s="236">
        <v>0</v>
      </c>
      <c r="AO42" s="236">
        <v>0</v>
      </c>
      <c r="AP42" s="236">
        <v>0</v>
      </c>
      <c r="AQ42" s="236">
        <v>0</v>
      </c>
      <c r="AR42" s="236">
        <v>0</v>
      </c>
      <c r="AS42" s="236">
        <v>0</v>
      </c>
      <c r="AT42" s="236">
        <v>0</v>
      </c>
      <c r="AU42" s="236">
        <v>0</v>
      </c>
      <c r="AV42" s="236">
        <v>0</v>
      </c>
      <c r="AW42" s="236">
        <v>0</v>
      </c>
      <c r="AX42" s="236">
        <v>0</v>
      </c>
      <c r="AY42" s="236">
        <v>0</v>
      </c>
      <c r="AZ42" s="236">
        <v>12</v>
      </c>
      <c r="BA42" s="236">
        <v>12</v>
      </c>
      <c r="BB42" s="236">
        <v>12</v>
      </c>
      <c r="BC42" s="236">
        <v>92</v>
      </c>
      <c r="BD42" s="236">
        <v>90</v>
      </c>
      <c r="BE42" s="236">
        <v>90</v>
      </c>
      <c r="BF42" s="236">
        <v>2</v>
      </c>
      <c r="BG42" s="236">
        <v>0</v>
      </c>
      <c r="BH42" s="236">
        <v>0</v>
      </c>
      <c r="BI42" s="236">
        <v>0</v>
      </c>
      <c r="BJ42" s="236">
        <v>0</v>
      </c>
      <c r="BK42" s="236">
        <v>0</v>
      </c>
      <c r="BL42" s="236">
        <v>0</v>
      </c>
      <c r="BM42" s="236">
        <v>0</v>
      </c>
      <c r="BN42" s="236">
        <v>0</v>
      </c>
      <c r="BO42" s="236">
        <v>0</v>
      </c>
      <c r="BP42" s="236">
        <v>0</v>
      </c>
      <c r="BQ42" s="236">
        <v>0</v>
      </c>
      <c r="BR42" s="236">
        <v>0</v>
      </c>
      <c r="BS42" s="236">
        <v>0</v>
      </c>
      <c r="BT42" s="236">
        <v>0</v>
      </c>
      <c r="BU42" s="236">
        <v>0</v>
      </c>
      <c r="BV42" s="236">
        <v>0</v>
      </c>
      <c r="BW42" s="236">
        <v>0</v>
      </c>
      <c r="BX42" s="236">
        <v>0</v>
      </c>
      <c r="BY42" s="236">
        <v>0</v>
      </c>
      <c r="BZ42" s="236">
        <v>0</v>
      </c>
      <c r="CA42" s="236">
        <v>0</v>
      </c>
      <c r="CB42" s="236">
        <v>0</v>
      </c>
      <c r="CC42" s="236">
        <v>0</v>
      </c>
      <c r="CD42" s="236">
        <v>0</v>
      </c>
      <c r="CE42" s="236">
        <v>0</v>
      </c>
      <c r="CF42" s="236">
        <v>0</v>
      </c>
      <c r="CG42" s="236">
        <v>0</v>
      </c>
      <c r="CH42" s="236">
        <v>0</v>
      </c>
      <c r="CI42" s="236">
        <v>147</v>
      </c>
      <c r="CJ42" s="236">
        <v>147</v>
      </c>
      <c r="CK42" s="236">
        <f>CJ42-CL42</f>
        <v>97</v>
      </c>
      <c r="CL42" s="236">
        <v>50</v>
      </c>
      <c r="CM42" s="236">
        <v>0</v>
      </c>
      <c r="CN42" s="236">
        <v>0</v>
      </c>
      <c r="CO42" s="236">
        <v>1</v>
      </c>
      <c r="CP42" s="236">
        <v>1</v>
      </c>
      <c r="CQ42" s="236">
        <v>1</v>
      </c>
      <c r="CR42" s="236">
        <v>0</v>
      </c>
      <c r="CS42" s="236">
        <v>0</v>
      </c>
      <c r="CT42" s="236">
        <v>33</v>
      </c>
      <c r="CU42" s="236">
        <v>32</v>
      </c>
      <c r="CV42" s="236">
        <v>32</v>
      </c>
      <c r="CX42" s="236">
        <f t="shared" si="1"/>
        <v>59</v>
      </c>
      <c r="CY42" s="236">
        <f t="shared" si="5"/>
        <v>58</v>
      </c>
      <c r="CZ42" s="236">
        <f t="shared" si="3"/>
        <v>58</v>
      </c>
    </row>
    <row r="43" ht="18" customHeight="1" spans="1:104">
      <c r="A43" s="235" t="s">
        <v>118</v>
      </c>
      <c r="B43" s="236">
        <v>0</v>
      </c>
      <c r="C43" s="236">
        <v>0</v>
      </c>
      <c r="D43" s="236">
        <v>0</v>
      </c>
      <c r="E43" s="236">
        <v>0</v>
      </c>
      <c r="F43" s="236">
        <v>0</v>
      </c>
      <c r="G43" s="236">
        <v>0</v>
      </c>
      <c r="H43" s="236">
        <v>0</v>
      </c>
      <c r="I43" s="236">
        <v>0</v>
      </c>
      <c r="J43" s="236">
        <v>0</v>
      </c>
      <c r="K43" s="236">
        <v>0</v>
      </c>
      <c r="L43" s="236">
        <v>0</v>
      </c>
      <c r="M43" s="236">
        <v>0</v>
      </c>
      <c r="N43" s="236">
        <v>0</v>
      </c>
      <c r="O43" s="236">
        <v>0</v>
      </c>
      <c r="P43" s="236">
        <v>0</v>
      </c>
      <c r="Q43" s="236">
        <v>0</v>
      </c>
      <c r="R43" s="236">
        <v>0</v>
      </c>
      <c r="S43" s="236">
        <v>0</v>
      </c>
      <c r="T43" s="236">
        <v>0</v>
      </c>
      <c r="U43" s="236">
        <v>2908</v>
      </c>
      <c r="V43" s="236">
        <v>351</v>
      </c>
      <c r="W43" s="236">
        <v>247</v>
      </c>
      <c r="X43" s="236">
        <v>16</v>
      </c>
      <c r="Y43" s="236">
        <v>0</v>
      </c>
      <c r="Z43" s="236">
        <v>0</v>
      </c>
      <c r="AA43" s="236">
        <v>146</v>
      </c>
      <c r="AB43" s="236">
        <v>48</v>
      </c>
      <c r="AC43" s="236">
        <v>18</v>
      </c>
      <c r="AD43" s="236">
        <v>0</v>
      </c>
      <c r="AE43" s="236">
        <v>0</v>
      </c>
      <c r="AF43" s="236">
        <v>0</v>
      </c>
      <c r="AG43" s="236">
        <v>0</v>
      </c>
      <c r="AH43" s="236">
        <v>0</v>
      </c>
      <c r="AI43" s="236">
        <v>0</v>
      </c>
      <c r="AJ43" s="236">
        <v>0</v>
      </c>
      <c r="AK43" s="236">
        <v>0</v>
      </c>
      <c r="AL43" s="236">
        <v>0</v>
      </c>
      <c r="AM43" s="236">
        <v>0</v>
      </c>
      <c r="AN43" s="236">
        <v>0</v>
      </c>
      <c r="AO43" s="236">
        <v>0</v>
      </c>
      <c r="AP43" s="236">
        <v>0</v>
      </c>
      <c r="AQ43" s="236">
        <v>0</v>
      </c>
      <c r="AR43" s="236">
        <v>0</v>
      </c>
      <c r="AS43" s="236">
        <v>0</v>
      </c>
      <c r="AT43" s="236">
        <v>0</v>
      </c>
      <c r="AU43" s="236">
        <v>0</v>
      </c>
      <c r="AV43" s="236">
        <v>0</v>
      </c>
      <c r="AW43" s="236">
        <v>0</v>
      </c>
      <c r="AX43" s="236">
        <v>0</v>
      </c>
      <c r="AY43" s="236">
        <v>0</v>
      </c>
      <c r="AZ43" s="236">
        <v>12</v>
      </c>
      <c r="BA43" s="236">
        <v>12</v>
      </c>
      <c r="BB43" s="236">
        <v>12</v>
      </c>
      <c r="BC43" s="236">
        <v>92</v>
      </c>
      <c r="BD43" s="236">
        <v>91</v>
      </c>
      <c r="BE43" s="236">
        <v>88</v>
      </c>
      <c r="BF43" s="236">
        <v>0</v>
      </c>
      <c r="BG43" s="236">
        <v>0</v>
      </c>
      <c r="BH43" s="236">
        <v>0</v>
      </c>
      <c r="BI43" s="236">
        <v>0</v>
      </c>
      <c r="BJ43" s="236">
        <v>0</v>
      </c>
      <c r="BK43" s="236">
        <v>0</v>
      </c>
      <c r="BL43" s="236">
        <v>0</v>
      </c>
      <c r="BM43" s="236">
        <v>0</v>
      </c>
      <c r="BN43" s="236">
        <v>0</v>
      </c>
      <c r="BO43" s="236">
        <v>0</v>
      </c>
      <c r="BP43" s="236">
        <v>0</v>
      </c>
      <c r="BQ43" s="236">
        <v>0</v>
      </c>
      <c r="BR43" s="236">
        <v>0</v>
      </c>
      <c r="BS43" s="236">
        <v>0</v>
      </c>
      <c r="BT43" s="236">
        <v>0</v>
      </c>
      <c r="BU43" s="236">
        <v>0</v>
      </c>
      <c r="BV43" s="236">
        <v>0</v>
      </c>
      <c r="BW43" s="236">
        <v>0</v>
      </c>
      <c r="BX43" s="236">
        <v>0</v>
      </c>
      <c r="BY43" s="236">
        <v>0</v>
      </c>
      <c r="BZ43" s="236">
        <v>0</v>
      </c>
      <c r="CA43" s="236">
        <v>0</v>
      </c>
      <c r="CB43" s="236">
        <v>0</v>
      </c>
      <c r="CC43" s="236">
        <v>0</v>
      </c>
      <c r="CD43" s="236">
        <v>0</v>
      </c>
      <c r="CE43" s="236">
        <v>0</v>
      </c>
      <c r="CF43" s="236">
        <v>0</v>
      </c>
      <c r="CG43" s="236">
        <v>0</v>
      </c>
      <c r="CH43" s="236">
        <v>0</v>
      </c>
      <c r="CI43" s="236">
        <v>146</v>
      </c>
      <c r="CJ43" s="236">
        <v>146</v>
      </c>
      <c r="CK43" s="236">
        <v>98</v>
      </c>
      <c r="CL43" s="236">
        <v>48</v>
      </c>
      <c r="CM43" s="236">
        <v>0</v>
      </c>
      <c r="CN43" s="236">
        <v>0</v>
      </c>
      <c r="CO43" s="236">
        <v>0</v>
      </c>
      <c r="CP43" s="236">
        <v>0</v>
      </c>
      <c r="CQ43" s="236">
        <v>0</v>
      </c>
      <c r="CR43" s="236">
        <v>0</v>
      </c>
      <c r="CS43" s="236">
        <v>0</v>
      </c>
      <c r="CT43" s="236">
        <v>33</v>
      </c>
      <c r="CU43" s="236">
        <v>32</v>
      </c>
      <c r="CV43" s="236">
        <v>31</v>
      </c>
      <c r="CX43" s="236">
        <f t="shared" si="1"/>
        <v>59</v>
      </c>
      <c r="CY43" s="236">
        <f t="shared" si="5"/>
        <v>59</v>
      </c>
      <c r="CZ43" s="236">
        <f t="shared" si="3"/>
        <v>57</v>
      </c>
    </row>
    <row r="44" ht="18" customHeight="1" spans="1:104">
      <c r="A44" s="235" t="s">
        <v>119</v>
      </c>
      <c r="B44" s="236">
        <v>0</v>
      </c>
      <c r="C44" s="236">
        <v>0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0</v>
      </c>
      <c r="J44" s="236">
        <v>0</v>
      </c>
      <c r="K44" s="236">
        <v>0</v>
      </c>
      <c r="L44" s="236">
        <v>1</v>
      </c>
      <c r="M44" s="236">
        <v>0</v>
      </c>
      <c r="N44" s="236">
        <v>0</v>
      </c>
      <c r="O44" s="236">
        <v>0</v>
      </c>
      <c r="P44" s="236">
        <v>0</v>
      </c>
      <c r="Q44" s="236">
        <v>0</v>
      </c>
      <c r="R44" s="236">
        <v>0</v>
      </c>
      <c r="S44" s="236">
        <v>0</v>
      </c>
      <c r="T44" s="236">
        <v>0</v>
      </c>
      <c r="U44" s="236">
        <v>2965</v>
      </c>
      <c r="V44" s="236">
        <v>355</v>
      </c>
      <c r="W44" s="236">
        <v>284</v>
      </c>
      <c r="X44" s="236">
        <v>22</v>
      </c>
      <c r="Y44" s="236">
        <v>0</v>
      </c>
      <c r="Z44" s="236">
        <v>0</v>
      </c>
      <c r="AA44" s="236">
        <v>146</v>
      </c>
      <c r="AB44" s="236">
        <v>55</v>
      </c>
      <c r="AC44" s="236">
        <v>17</v>
      </c>
      <c r="AD44" s="236">
        <v>0</v>
      </c>
      <c r="AE44" s="236">
        <v>0</v>
      </c>
      <c r="AF44" s="236">
        <v>0</v>
      </c>
      <c r="AG44" s="236">
        <v>0</v>
      </c>
      <c r="AH44" s="236">
        <v>0</v>
      </c>
      <c r="AI44" s="236">
        <v>0</v>
      </c>
      <c r="AJ44" s="236">
        <v>0</v>
      </c>
      <c r="AK44" s="236">
        <v>0</v>
      </c>
      <c r="AL44" s="236">
        <v>0</v>
      </c>
      <c r="AM44" s="236">
        <v>0</v>
      </c>
      <c r="AN44" s="236">
        <v>0</v>
      </c>
      <c r="AO44" s="236">
        <v>0</v>
      </c>
      <c r="AP44" s="236">
        <v>0</v>
      </c>
      <c r="AQ44" s="236">
        <v>0</v>
      </c>
      <c r="AR44" s="236">
        <v>0</v>
      </c>
      <c r="AS44" s="236">
        <v>0</v>
      </c>
      <c r="AT44" s="236">
        <v>0</v>
      </c>
      <c r="AU44" s="236">
        <v>0</v>
      </c>
      <c r="AV44" s="236">
        <v>0</v>
      </c>
      <c r="AW44" s="236">
        <v>0</v>
      </c>
      <c r="AX44" s="236">
        <v>0</v>
      </c>
      <c r="AY44" s="236">
        <v>0</v>
      </c>
      <c r="AZ44" s="236">
        <v>12</v>
      </c>
      <c r="BA44" s="236">
        <v>12</v>
      </c>
      <c r="BB44" s="236">
        <v>12</v>
      </c>
      <c r="BC44" s="236">
        <v>92</v>
      </c>
      <c r="BD44" s="236">
        <v>90</v>
      </c>
      <c r="BE44" s="236">
        <v>90</v>
      </c>
      <c r="BF44" s="236">
        <v>0</v>
      </c>
      <c r="BG44" s="236">
        <v>0</v>
      </c>
      <c r="BH44" s="236">
        <v>0</v>
      </c>
      <c r="BI44" s="236">
        <v>0</v>
      </c>
      <c r="BJ44" s="236">
        <v>0</v>
      </c>
      <c r="BK44" s="236">
        <v>0</v>
      </c>
      <c r="BL44" s="236">
        <v>0</v>
      </c>
      <c r="BM44" s="236">
        <v>0</v>
      </c>
      <c r="BN44" s="236">
        <v>0</v>
      </c>
      <c r="BO44" s="236">
        <v>0</v>
      </c>
      <c r="BP44" s="236">
        <v>0</v>
      </c>
      <c r="BQ44" s="236">
        <v>0</v>
      </c>
      <c r="BR44" s="236">
        <v>0</v>
      </c>
      <c r="BS44" s="236">
        <v>0</v>
      </c>
      <c r="BT44" s="236">
        <v>0</v>
      </c>
      <c r="BU44" s="236">
        <v>0</v>
      </c>
      <c r="BV44" s="236">
        <v>0</v>
      </c>
      <c r="BW44" s="236">
        <v>0</v>
      </c>
      <c r="BX44" s="236">
        <v>0</v>
      </c>
      <c r="BY44" s="236">
        <v>0</v>
      </c>
      <c r="BZ44" s="236">
        <v>0</v>
      </c>
      <c r="CA44" s="236">
        <v>0</v>
      </c>
      <c r="CB44" s="236">
        <v>0</v>
      </c>
      <c r="CC44" s="236">
        <v>0</v>
      </c>
      <c r="CD44" s="236">
        <v>0</v>
      </c>
      <c r="CE44" s="236">
        <v>0</v>
      </c>
      <c r="CF44" s="236">
        <v>0</v>
      </c>
      <c r="CG44" s="236">
        <v>0</v>
      </c>
      <c r="CH44" s="236">
        <v>0</v>
      </c>
      <c r="CI44" s="236">
        <v>146</v>
      </c>
      <c r="CJ44" s="236">
        <v>146</v>
      </c>
      <c r="CK44" s="236">
        <v>91</v>
      </c>
      <c r="CL44" s="236">
        <v>55</v>
      </c>
      <c r="CM44" s="236">
        <v>0</v>
      </c>
      <c r="CN44" s="236">
        <v>0</v>
      </c>
      <c r="CO44" s="236">
        <v>1</v>
      </c>
      <c r="CP44" s="236">
        <v>1</v>
      </c>
      <c r="CQ44" s="236">
        <v>1</v>
      </c>
      <c r="CR44" s="236">
        <v>0</v>
      </c>
      <c r="CS44" s="236">
        <v>0</v>
      </c>
      <c r="CT44" s="236">
        <v>33</v>
      </c>
      <c r="CU44" s="236">
        <v>32</v>
      </c>
      <c r="CV44" s="236">
        <v>32</v>
      </c>
      <c r="CX44" s="236">
        <f t="shared" si="1"/>
        <v>59</v>
      </c>
      <c r="CY44" s="236">
        <f t="shared" si="5"/>
        <v>58</v>
      </c>
      <c r="CZ44" s="236">
        <f t="shared" si="3"/>
        <v>58</v>
      </c>
    </row>
    <row r="45" ht="18" customHeight="1" spans="1:104">
      <c r="A45" s="235" t="s">
        <v>120</v>
      </c>
      <c r="B45" s="236">
        <v>0</v>
      </c>
      <c r="C45" s="236">
        <v>0</v>
      </c>
      <c r="D45" s="236">
        <v>0</v>
      </c>
      <c r="E45" s="236">
        <v>0</v>
      </c>
      <c r="F45" s="236">
        <v>0</v>
      </c>
      <c r="G45" s="236">
        <v>0</v>
      </c>
      <c r="H45" s="236">
        <v>0</v>
      </c>
      <c r="I45" s="236">
        <v>0</v>
      </c>
      <c r="J45" s="236">
        <v>0</v>
      </c>
      <c r="K45" s="236">
        <v>0</v>
      </c>
      <c r="L45" s="236">
        <v>0</v>
      </c>
      <c r="M45" s="236">
        <v>0</v>
      </c>
      <c r="N45" s="236">
        <v>0</v>
      </c>
      <c r="O45" s="236">
        <v>0</v>
      </c>
      <c r="P45" s="236">
        <v>0</v>
      </c>
      <c r="Q45" s="236">
        <v>0</v>
      </c>
      <c r="R45" s="236">
        <v>0</v>
      </c>
      <c r="S45" s="236">
        <v>0</v>
      </c>
      <c r="T45" s="236">
        <v>0</v>
      </c>
      <c r="U45" s="236">
        <v>3379</v>
      </c>
      <c r="V45" s="236">
        <v>425</v>
      </c>
      <c r="W45" s="236">
        <v>357</v>
      </c>
      <c r="X45" s="236">
        <v>22</v>
      </c>
      <c r="Y45" s="236">
        <v>0</v>
      </c>
      <c r="Z45" s="236">
        <v>0</v>
      </c>
      <c r="AA45" s="236">
        <v>198</v>
      </c>
      <c r="AB45" s="236">
        <v>88</v>
      </c>
      <c r="AC45" s="236">
        <v>23</v>
      </c>
      <c r="AD45" s="236">
        <v>0</v>
      </c>
      <c r="AE45" s="236">
        <v>0</v>
      </c>
      <c r="AF45" s="236">
        <v>0</v>
      </c>
      <c r="AG45" s="236">
        <v>0</v>
      </c>
      <c r="AH45" s="236">
        <v>0</v>
      </c>
      <c r="AI45" s="236">
        <v>0</v>
      </c>
      <c r="AJ45" s="236">
        <v>0</v>
      </c>
      <c r="AK45" s="236">
        <v>0</v>
      </c>
      <c r="AL45" s="236">
        <v>0</v>
      </c>
      <c r="AM45" s="236">
        <v>0</v>
      </c>
      <c r="AN45" s="236">
        <v>0</v>
      </c>
      <c r="AO45" s="236">
        <v>0</v>
      </c>
      <c r="AP45" s="236">
        <v>0</v>
      </c>
      <c r="AQ45" s="236">
        <v>0</v>
      </c>
      <c r="AR45" s="236">
        <v>0</v>
      </c>
      <c r="AS45" s="236">
        <v>0</v>
      </c>
      <c r="AT45" s="236">
        <v>0</v>
      </c>
      <c r="AU45" s="236">
        <v>0</v>
      </c>
      <c r="AV45" s="236">
        <v>0</v>
      </c>
      <c r="AW45" s="236">
        <v>0</v>
      </c>
      <c r="AX45" s="236">
        <v>0</v>
      </c>
      <c r="AY45" s="236">
        <v>0</v>
      </c>
      <c r="AZ45" s="236">
        <v>12</v>
      </c>
      <c r="BA45" s="236">
        <v>12</v>
      </c>
      <c r="BB45" s="236">
        <v>12</v>
      </c>
      <c r="BC45" s="236">
        <v>92</v>
      </c>
      <c r="BD45" s="236">
        <v>90</v>
      </c>
      <c r="BE45" s="236">
        <v>90</v>
      </c>
      <c r="BF45" s="236">
        <v>0</v>
      </c>
      <c r="BG45" s="236">
        <v>0</v>
      </c>
      <c r="BH45" s="236">
        <v>0</v>
      </c>
      <c r="BI45" s="236">
        <v>0</v>
      </c>
      <c r="BJ45" s="236">
        <v>0</v>
      </c>
      <c r="BK45" s="236">
        <v>0</v>
      </c>
      <c r="BL45" s="236">
        <v>0</v>
      </c>
      <c r="BM45" s="236">
        <v>0</v>
      </c>
      <c r="BN45" s="236">
        <v>0</v>
      </c>
      <c r="BO45" s="236">
        <v>0</v>
      </c>
      <c r="BP45" s="236">
        <v>0</v>
      </c>
      <c r="BQ45" s="236">
        <v>0</v>
      </c>
      <c r="BR45" s="236">
        <v>0</v>
      </c>
      <c r="BS45" s="236">
        <v>0</v>
      </c>
      <c r="BT45" s="236">
        <v>0</v>
      </c>
      <c r="BU45" s="236">
        <v>0</v>
      </c>
      <c r="BV45" s="236">
        <v>0</v>
      </c>
      <c r="BW45" s="236">
        <v>0</v>
      </c>
      <c r="BX45" s="236">
        <v>0</v>
      </c>
      <c r="BY45" s="236">
        <v>0</v>
      </c>
      <c r="BZ45" s="236">
        <v>0</v>
      </c>
      <c r="CA45" s="236">
        <v>0</v>
      </c>
      <c r="CB45" s="236">
        <v>0</v>
      </c>
      <c r="CC45" s="236">
        <v>0</v>
      </c>
      <c r="CD45" s="236">
        <v>0</v>
      </c>
      <c r="CE45" s="236">
        <v>0</v>
      </c>
      <c r="CF45" s="236">
        <v>0</v>
      </c>
      <c r="CG45" s="236">
        <v>0</v>
      </c>
      <c r="CH45" s="236">
        <v>0</v>
      </c>
      <c r="CI45" s="236">
        <v>198</v>
      </c>
      <c r="CJ45" s="236">
        <v>198</v>
      </c>
      <c r="CK45" s="236">
        <v>110</v>
      </c>
      <c r="CL45" s="236">
        <v>88</v>
      </c>
      <c r="CM45" s="236">
        <v>0</v>
      </c>
      <c r="CN45" s="236">
        <v>0</v>
      </c>
      <c r="CO45" s="236">
        <v>0</v>
      </c>
      <c r="CP45" s="236">
        <v>0</v>
      </c>
      <c r="CQ45" s="236">
        <v>0</v>
      </c>
      <c r="CR45" s="236">
        <v>0</v>
      </c>
      <c r="CS45" s="236">
        <v>0</v>
      </c>
      <c r="CT45" s="236">
        <v>33</v>
      </c>
      <c r="CU45" s="236">
        <v>32</v>
      </c>
      <c r="CV45" s="236">
        <v>32</v>
      </c>
      <c r="CX45" s="236">
        <f t="shared" si="1"/>
        <v>59</v>
      </c>
      <c r="CY45" s="236">
        <f t="shared" si="5"/>
        <v>58</v>
      </c>
      <c r="CZ45" s="236">
        <f t="shared" si="3"/>
        <v>58</v>
      </c>
    </row>
    <row r="46" ht="18" customHeight="1" spans="1:104">
      <c r="A46" s="235" t="s">
        <v>121</v>
      </c>
      <c r="B46" s="236">
        <v>0</v>
      </c>
      <c r="C46" s="236">
        <v>0</v>
      </c>
      <c r="D46" s="236">
        <v>0</v>
      </c>
      <c r="E46" s="236">
        <v>0</v>
      </c>
      <c r="F46" s="236">
        <v>0</v>
      </c>
      <c r="G46" s="236">
        <v>0</v>
      </c>
      <c r="H46" s="236">
        <v>0</v>
      </c>
      <c r="I46" s="236">
        <v>0</v>
      </c>
      <c r="J46" s="236">
        <v>0</v>
      </c>
      <c r="K46" s="236">
        <v>0</v>
      </c>
      <c r="L46" s="236">
        <v>1</v>
      </c>
      <c r="M46" s="236">
        <v>0</v>
      </c>
      <c r="N46" s="236">
        <v>0</v>
      </c>
      <c r="O46" s="236">
        <v>0</v>
      </c>
      <c r="P46" s="236">
        <v>0</v>
      </c>
      <c r="Q46" s="236">
        <v>0</v>
      </c>
      <c r="R46" s="236">
        <v>0</v>
      </c>
      <c r="S46" s="236">
        <v>0</v>
      </c>
      <c r="T46" s="236">
        <v>0</v>
      </c>
      <c r="U46" s="236">
        <v>3375</v>
      </c>
      <c r="V46" s="236">
        <v>415</v>
      </c>
      <c r="W46" s="236">
        <v>265</v>
      </c>
      <c r="X46" s="236">
        <v>16</v>
      </c>
      <c r="Y46" s="236">
        <v>0</v>
      </c>
      <c r="Z46" s="236">
        <v>0</v>
      </c>
      <c r="AA46" s="236">
        <v>187</v>
      </c>
      <c r="AB46" s="236">
        <v>62</v>
      </c>
      <c r="AC46" s="236">
        <v>18</v>
      </c>
      <c r="AD46" s="236">
        <v>0</v>
      </c>
      <c r="AE46" s="236">
        <v>0</v>
      </c>
      <c r="AF46" s="236">
        <v>0</v>
      </c>
      <c r="AG46" s="236">
        <v>0</v>
      </c>
      <c r="AH46" s="236">
        <v>0</v>
      </c>
      <c r="AI46" s="236">
        <v>0</v>
      </c>
      <c r="AJ46" s="236">
        <v>0</v>
      </c>
      <c r="AK46" s="236">
        <v>0</v>
      </c>
      <c r="AL46" s="236">
        <v>0</v>
      </c>
      <c r="AM46" s="236">
        <v>0</v>
      </c>
      <c r="AN46" s="236">
        <v>0</v>
      </c>
      <c r="AO46" s="236">
        <v>0</v>
      </c>
      <c r="AP46" s="236">
        <v>0</v>
      </c>
      <c r="AQ46" s="236">
        <v>0</v>
      </c>
      <c r="AR46" s="236">
        <v>0</v>
      </c>
      <c r="AS46" s="236">
        <v>0</v>
      </c>
      <c r="AT46" s="236">
        <v>0</v>
      </c>
      <c r="AU46" s="236">
        <v>0</v>
      </c>
      <c r="AV46" s="236">
        <v>0</v>
      </c>
      <c r="AW46" s="236">
        <v>0</v>
      </c>
      <c r="AX46" s="236">
        <v>0</v>
      </c>
      <c r="AY46" s="236">
        <v>0</v>
      </c>
      <c r="AZ46" s="236">
        <v>12</v>
      </c>
      <c r="BA46" s="236">
        <v>12</v>
      </c>
      <c r="BB46" s="236">
        <v>12</v>
      </c>
      <c r="BC46" s="236">
        <v>92</v>
      </c>
      <c r="BD46" s="236">
        <v>91</v>
      </c>
      <c r="BE46" s="236">
        <v>91</v>
      </c>
      <c r="BF46" s="236">
        <v>0</v>
      </c>
      <c r="BG46" s="236">
        <v>0</v>
      </c>
      <c r="BH46" s="236">
        <v>0</v>
      </c>
      <c r="BI46" s="236">
        <v>0</v>
      </c>
      <c r="BJ46" s="236">
        <v>0</v>
      </c>
      <c r="BK46" s="236">
        <v>0</v>
      </c>
      <c r="BL46" s="236">
        <v>0</v>
      </c>
      <c r="BM46" s="236">
        <v>0</v>
      </c>
      <c r="BN46" s="236">
        <v>0</v>
      </c>
      <c r="BO46" s="236">
        <v>0</v>
      </c>
      <c r="BP46" s="236">
        <v>0</v>
      </c>
      <c r="BQ46" s="236">
        <v>0</v>
      </c>
      <c r="BR46" s="236">
        <v>0</v>
      </c>
      <c r="BS46" s="236">
        <v>0</v>
      </c>
      <c r="BT46" s="236">
        <v>0</v>
      </c>
      <c r="BU46" s="236">
        <v>0</v>
      </c>
      <c r="BV46" s="236">
        <v>0</v>
      </c>
      <c r="BW46" s="236">
        <v>0</v>
      </c>
      <c r="BX46" s="236">
        <v>0</v>
      </c>
      <c r="BY46" s="236">
        <v>0</v>
      </c>
      <c r="BZ46" s="236">
        <v>0</v>
      </c>
      <c r="CA46" s="236">
        <v>0</v>
      </c>
      <c r="CB46" s="236">
        <v>0</v>
      </c>
      <c r="CC46" s="236">
        <v>0</v>
      </c>
      <c r="CD46" s="236">
        <v>0</v>
      </c>
      <c r="CE46" s="236">
        <v>0</v>
      </c>
      <c r="CF46" s="236">
        <v>0</v>
      </c>
      <c r="CG46" s="236">
        <v>0</v>
      </c>
      <c r="CH46" s="236">
        <v>0</v>
      </c>
      <c r="CI46" s="236">
        <v>187</v>
      </c>
      <c r="CJ46" s="236">
        <v>187</v>
      </c>
      <c r="CK46" s="236">
        <f>CJ46-CL46</f>
        <v>125</v>
      </c>
      <c r="CL46" s="236">
        <v>62</v>
      </c>
      <c r="CM46" s="236">
        <v>0</v>
      </c>
      <c r="CN46" s="236">
        <v>0</v>
      </c>
      <c r="CO46" s="236">
        <v>1</v>
      </c>
      <c r="CP46" s="236">
        <v>1</v>
      </c>
      <c r="CQ46" s="236">
        <v>1</v>
      </c>
      <c r="CR46" s="236">
        <v>0</v>
      </c>
      <c r="CS46" s="236">
        <v>0</v>
      </c>
      <c r="CT46" s="236">
        <v>33</v>
      </c>
      <c r="CU46" s="236">
        <v>33</v>
      </c>
      <c r="CV46" s="236">
        <v>33</v>
      </c>
      <c r="CX46" s="236">
        <f t="shared" si="1"/>
        <v>59</v>
      </c>
      <c r="CY46" s="236">
        <f t="shared" si="5"/>
        <v>58</v>
      </c>
      <c r="CZ46" s="236">
        <f t="shared" si="3"/>
        <v>58</v>
      </c>
    </row>
    <row r="47" ht="18" customHeight="1" spans="1:104">
      <c r="A47" s="235" t="s">
        <v>122</v>
      </c>
      <c r="B47" s="236">
        <v>0</v>
      </c>
      <c r="C47" s="236">
        <v>0</v>
      </c>
      <c r="D47" s="236">
        <v>0</v>
      </c>
      <c r="E47" s="236">
        <v>0</v>
      </c>
      <c r="F47" s="236">
        <v>0</v>
      </c>
      <c r="G47" s="236">
        <v>0</v>
      </c>
      <c r="H47" s="236">
        <v>0</v>
      </c>
      <c r="I47" s="236">
        <v>0</v>
      </c>
      <c r="J47" s="236">
        <v>0</v>
      </c>
      <c r="K47" s="236">
        <v>0</v>
      </c>
      <c r="L47" s="236">
        <v>3</v>
      </c>
      <c r="M47" s="236">
        <v>0</v>
      </c>
      <c r="N47" s="236">
        <v>0</v>
      </c>
      <c r="O47" s="236">
        <v>0</v>
      </c>
      <c r="P47" s="236">
        <v>0</v>
      </c>
      <c r="Q47" s="236">
        <v>0</v>
      </c>
      <c r="R47" s="236">
        <v>0</v>
      </c>
      <c r="S47" s="236">
        <v>0</v>
      </c>
      <c r="T47" s="236">
        <v>0</v>
      </c>
      <c r="U47" s="236">
        <v>3410</v>
      </c>
      <c r="V47" s="236">
        <v>394</v>
      </c>
      <c r="W47" s="236">
        <v>340</v>
      </c>
      <c r="X47" s="236">
        <v>13</v>
      </c>
      <c r="Y47" s="236">
        <v>0</v>
      </c>
      <c r="Z47" s="236">
        <v>0</v>
      </c>
      <c r="AA47" s="236">
        <v>223</v>
      </c>
      <c r="AB47" s="236">
        <v>87</v>
      </c>
      <c r="AC47" s="236">
        <v>39</v>
      </c>
      <c r="AD47" s="236">
        <v>0</v>
      </c>
      <c r="AE47" s="236">
        <v>0</v>
      </c>
      <c r="AF47" s="236">
        <v>0</v>
      </c>
      <c r="AG47" s="236">
        <v>0</v>
      </c>
      <c r="AH47" s="236">
        <v>0</v>
      </c>
      <c r="AI47" s="236">
        <v>0</v>
      </c>
      <c r="AJ47" s="236">
        <v>0</v>
      </c>
      <c r="AK47" s="236">
        <v>0</v>
      </c>
      <c r="AL47" s="236">
        <v>0</v>
      </c>
      <c r="AM47" s="236">
        <v>0</v>
      </c>
      <c r="AN47" s="236">
        <v>0</v>
      </c>
      <c r="AO47" s="236">
        <v>0</v>
      </c>
      <c r="AP47" s="236">
        <v>0</v>
      </c>
      <c r="AQ47" s="236">
        <v>0</v>
      </c>
      <c r="AR47" s="236">
        <v>0</v>
      </c>
      <c r="AS47" s="236">
        <v>0</v>
      </c>
      <c r="AT47" s="236">
        <v>0</v>
      </c>
      <c r="AU47" s="236">
        <v>0</v>
      </c>
      <c r="AV47" s="236">
        <v>0</v>
      </c>
      <c r="AW47" s="236">
        <v>0</v>
      </c>
      <c r="AX47" s="236">
        <v>0</v>
      </c>
      <c r="AY47" s="236">
        <v>0</v>
      </c>
      <c r="AZ47" s="236">
        <v>12</v>
      </c>
      <c r="BA47" s="236">
        <v>12</v>
      </c>
      <c r="BB47" s="236">
        <v>12</v>
      </c>
      <c r="BC47" s="236">
        <v>92</v>
      </c>
      <c r="BD47" s="236">
        <v>91</v>
      </c>
      <c r="BE47" s="236">
        <v>91</v>
      </c>
      <c r="BF47" s="236">
        <v>0</v>
      </c>
      <c r="BG47" s="236">
        <v>0</v>
      </c>
      <c r="BH47" s="236">
        <v>0</v>
      </c>
      <c r="BI47" s="236">
        <v>0</v>
      </c>
      <c r="BJ47" s="236">
        <v>0</v>
      </c>
      <c r="BK47" s="236">
        <v>0</v>
      </c>
      <c r="BL47" s="236">
        <v>0</v>
      </c>
      <c r="BM47" s="236">
        <v>0</v>
      </c>
      <c r="BN47" s="236">
        <v>0</v>
      </c>
      <c r="BO47" s="236">
        <v>0</v>
      </c>
      <c r="BP47" s="236">
        <v>0</v>
      </c>
      <c r="BQ47" s="236">
        <v>0</v>
      </c>
      <c r="BR47" s="236">
        <v>0</v>
      </c>
      <c r="BS47" s="236">
        <v>0</v>
      </c>
      <c r="BT47" s="236">
        <v>0</v>
      </c>
      <c r="BU47" s="236">
        <v>0</v>
      </c>
      <c r="BV47" s="236">
        <v>0</v>
      </c>
      <c r="BW47" s="236">
        <v>0</v>
      </c>
      <c r="BX47" s="236">
        <v>0</v>
      </c>
      <c r="BY47" s="236">
        <v>0</v>
      </c>
      <c r="BZ47" s="236">
        <v>0</v>
      </c>
      <c r="CA47" s="236">
        <v>0</v>
      </c>
      <c r="CB47" s="236">
        <v>0</v>
      </c>
      <c r="CC47" s="236">
        <v>0</v>
      </c>
      <c r="CD47" s="236">
        <v>0</v>
      </c>
      <c r="CE47" s="236">
        <v>0</v>
      </c>
      <c r="CF47" s="236">
        <v>0</v>
      </c>
      <c r="CG47" s="236">
        <v>0</v>
      </c>
      <c r="CH47" s="236">
        <v>0</v>
      </c>
      <c r="CI47" s="236">
        <v>223</v>
      </c>
      <c r="CJ47" s="236">
        <v>223</v>
      </c>
      <c r="CK47" s="236">
        <v>136</v>
      </c>
      <c r="CL47" s="236">
        <v>87</v>
      </c>
      <c r="CM47" s="236">
        <v>0</v>
      </c>
      <c r="CN47" s="236">
        <v>0</v>
      </c>
      <c r="CO47" s="236">
        <v>3</v>
      </c>
      <c r="CP47" s="236">
        <v>3</v>
      </c>
      <c r="CQ47" s="236">
        <v>3</v>
      </c>
      <c r="CR47" s="236">
        <v>0</v>
      </c>
      <c r="CS47" s="236">
        <v>0</v>
      </c>
      <c r="CT47" s="236">
        <v>33</v>
      </c>
      <c r="CU47" s="236">
        <v>32</v>
      </c>
      <c r="CV47" s="236">
        <v>32</v>
      </c>
      <c r="CX47" s="236">
        <f t="shared" si="1"/>
        <v>59</v>
      </c>
      <c r="CY47" s="236">
        <f t="shared" si="5"/>
        <v>59</v>
      </c>
      <c r="CZ47" s="236">
        <f t="shared" si="3"/>
        <v>59</v>
      </c>
    </row>
    <row r="48" ht="18" customHeight="1" spans="1:104">
      <c r="A48" s="235" t="s">
        <v>123</v>
      </c>
      <c r="B48" s="236">
        <v>0</v>
      </c>
      <c r="C48" s="236">
        <v>0</v>
      </c>
      <c r="D48" s="236">
        <v>0</v>
      </c>
      <c r="E48" s="236">
        <v>0</v>
      </c>
      <c r="F48" s="236">
        <v>0</v>
      </c>
      <c r="G48" s="236">
        <v>0</v>
      </c>
      <c r="H48" s="236">
        <v>0</v>
      </c>
      <c r="I48" s="236">
        <v>0</v>
      </c>
      <c r="J48" s="236">
        <v>0</v>
      </c>
      <c r="K48" s="236">
        <v>0</v>
      </c>
      <c r="L48" s="236">
        <v>0</v>
      </c>
      <c r="M48" s="236">
        <v>0</v>
      </c>
      <c r="N48" s="236">
        <v>0</v>
      </c>
      <c r="O48" s="236">
        <v>0</v>
      </c>
      <c r="P48" s="236">
        <v>0</v>
      </c>
      <c r="Q48" s="236">
        <v>0</v>
      </c>
      <c r="R48" s="236">
        <v>0</v>
      </c>
      <c r="S48" s="236">
        <v>0</v>
      </c>
      <c r="T48" s="236">
        <v>0</v>
      </c>
      <c r="U48" s="236">
        <v>2900</v>
      </c>
      <c r="V48" s="236">
        <v>423</v>
      </c>
      <c r="W48" s="236">
        <v>238</v>
      </c>
      <c r="X48" s="236">
        <v>25</v>
      </c>
      <c r="Y48" s="236">
        <v>0</v>
      </c>
      <c r="Z48" s="236">
        <v>0</v>
      </c>
      <c r="AA48" s="236">
        <v>122</v>
      </c>
      <c r="AB48" s="236">
        <v>54</v>
      </c>
      <c r="AC48" s="236">
        <v>18</v>
      </c>
      <c r="AD48" s="236">
        <v>0</v>
      </c>
      <c r="AE48" s="236">
        <v>0</v>
      </c>
      <c r="AF48" s="236">
        <v>0</v>
      </c>
      <c r="AG48" s="236">
        <v>0</v>
      </c>
      <c r="AH48" s="236">
        <v>0</v>
      </c>
      <c r="AI48" s="236">
        <v>0</v>
      </c>
      <c r="AJ48" s="236">
        <v>0</v>
      </c>
      <c r="AK48" s="236">
        <v>0</v>
      </c>
      <c r="AL48" s="236">
        <v>0</v>
      </c>
      <c r="AM48" s="236">
        <v>0</v>
      </c>
      <c r="AN48" s="236">
        <v>0</v>
      </c>
      <c r="AO48" s="236">
        <v>0</v>
      </c>
      <c r="AP48" s="236">
        <v>0</v>
      </c>
      <c r="AQ48" s="236">
        <v>0</v>
      </c>
      <c r="AR48" s="236">
        <v>0</v>
      </c>
      <c r="AS48" s="236">
        <v>0</v>
      </c>
      <c r="AT48" s="236">
        <v>0</v>
      </c>
      <c r="AU48" s="236">
        <v>0</v>
      </c>
      <c r="AV48" s="236">
        <v>0</v>
      </c>
      <c r="AW48" s="236">
        <v>0</v>
      </c>
      <c r="AX48" s="236">
        <v>0</v>
      </c>
      <c r="AY48" s="236">
        <v>0</v>
      </c>
      <c r="AZ48" s="236">
        <v>12</v>
      </c>
      <c r="BA48" s="236">
        <v>12</v>
      </c>
      <c r="BB48" s="236">
        <v>12</v>
      </c>
      <c r="BC48" s="236">
        <v>92</v>
      </c>
      <c r="BD48" s="236">
        <v>92</v>
      </c>
      <c r="BE48" s="236">
        <v>92</v>
      </c>
      <c r="BF48" s="236">
        <v>2</v>
      </c>
      <c r="BG48" s="236">
        <v>0</v>
      </c>
      <c r="BH48" s="236">
        <v>0</v>
      </c>
      <c r="BI48" s="236">
        <v>0</v>
      </c>
      <c r="BJ48" s="236">
        <v>0</v>
      </c>
      <c r="BK48" s="236">
        <v>0</v>
      </c>
      <c r="BL48" s="236">
        <v>0</v>
      </c>
      <c r="BM48" s="236">
        <v>0</v>
      </c>
      <c r="BN48" s="236">
        <v>0</v>
      </c>
      <c r="BO48" s="236">
        <v>0</v>
      </c>
      <c r="BP48" s="236">
        <v>0</v>
      </c>
      <c r="BQ48" s="236">
        <v>0</v>
      </c>
      <c r="BR48" s="236">
        <v>0</v>
      </c>
      <c r="BS48" s="236">
        <v>0</v>
      </c>
      <c r="BT48" s="236">
        <v>0</v>
      </c>
      <c r="BU48" s="236">
        <v>0</v>
      </c>
      <c r="BV48" s="236">
        <v>0</v>
      </c>
      <c r="BW48" s="236">
        <v>0</v>
      </c>
      <c r="BX48" s="236">
        <v>0</v>
      </c>
      <c r="BY48" s="236">
        <v>0</v>
      </c>
      <c r="BZ48" s="236">
        <v>0</v>
      </c>
      <c r="CA48" s="236">
        <v>0</v>
      </c>
      <c r="CB48" s="236">
        <v>0</v>
      </c>
      <c r="CC48" s="236">
        <v>0</v>
      </c>
      <c r="CD48" s="236">
        <v>0</v>
      </c>
      <c r="CE48" s="236">
        <v>0</v>
      </c>
      <c r="CF48" s="236">
        <v>0</v>
      </c>
      <c r="CG48" s="236">
        <v>0</v>
      </c>
      <c r="CH48" s="236">
        <v>0</v>
      </c>
      <c r="CI48" s="236">
        <v>122</v>
      </c>
      <c r="CJ48" s="236">
        <v>122</v>
      </c>
      <c r="CK48" s="236">
        <v>68</v>
      </c>
      <c r="CL48" s="236">
        <v>54</v>
      </c>
      <c r="CM48" s="236">
        <v>0</v>
      </c>
      <c r="CN48" s="236">
        <v>0</v>
      </c>
      <c r="CO48" s="236">
        <v>0</v>
      </c>
      <c r="CP48" s="236">
        <v>0</v>
      </c>
      <c r="CQ48" s="236">
        <v>0</v>
      </c>
      <c r="CR48" s="236">
        <v>0</v>
      </c>
      <c r="CS48" s="236">
        <v>0</v>
      </c>
      <c r="CT48" s="236">
        <v>33</v>
      </c>
      <c r="CU48" s="236">
        <v>33</v>
      </c>
      <c r="CV48" s="236">
        <v>33</v>
      </c>
      <c r="CX48" s="236">
        <f t="shared" si="1"/>
        <v>59</v>
      </c>
      <c r="CY48" s="236">
        <f t="shared" si="5"/>
        <v>59</v>
      </c>
      <c r="CZ48" s="236">
        <f t="shared" si="3"/>
        <v>59</v>
      </c>
    </row>
    <row r="49" ht="18" customHeight="1" spans="1:104">
      <c r="A49" s="235" t="s">
        <v>124</v>
      </c>
      <c r="B49" s="236">
        <v>0</v>
      </c>
      <c r="C49" s="236">
        <v>0</v>
      </c>
      <c r="D49" s="236">
        <v>0</v>
      </c>
      <c r="E49" s="236">
        <v>0</v>
      </c>
      <c r="F49" s="236">
        <v>0</v>
      </c>
      <c r="G49" s="236">
        <v>0</v>
      </c>
      <c r="H49" s="236">
        <v>0</v>
      </c>
      <c r="I49" s="236">
        <v>0</v>
      </c>
      <c r="J49" s="236">
        <v>0</v>
      </c>
      <c r="K49" s="236">
        <v>0</v>
      </c>
      <c r="L49" s="236">
        <v>0</v>
      </c>
      <c r="M49" s="236">
        <v>0</v>
      </c>
      <c r="N49" s="236">
        <v>0</v>
      </c>
      <c r="O49" s="236">
        <v>0</v>
      </c>
      <c r="P49" s="236">
        <v>0</v>
      </c>
      <c r="Q49" s="236">
        <v>0</v>
      </c>
      <c r="R49" s="236">
        <v>0</v>
      </c>
      <c r="S49" s="236">
        <v>0</v>
      </c>
      <c r="T49" s="236">
        <v>0</v>
      </c>
      <c r="U49" s="236">
        <v>2556</v>
      </c>
      <c r="V49" s="236">
        <v>374</v>
      </c>
      <c r="W49" s="236">
        <v>205</v>
      </c>
      <c r="X49" s="236">
        <v>15</v>
      </c>
      <c r="Y49" s="236">
        <v>0</v>
      </c>
      <c r="Z49" s="236">
        <v>0</v>
      </c>
      <c r="AA49" s="236">
        <v>163</v>
      </c>
      <c r="AB49" s="236">
        <v>69</v>
      </c>
      <c r="AC49" s="236">
        <v>15</v>
      </c>
      <c r="AD49" s="236">
        <v>0</v>
      </c>
      <c r="AE49" s="236">
        <v>0</v>
      </c>
      <c r="AF49" s="236">
        <v>0</v>
      </c>
      <c r="AG49" s="236">
        <v>0</v>
      </c>
      <c r="AH49" s="236">
        <v>0</v>
      </c>
      <c r="AI49" s="236">
        <v>0</v>
      </c>
      <c r="AJ49" s="236">
        <v>0</v>
      </c>
      <c r="AK49" s="236">
        <v>0</v>
      </c>
      <c r="AL49" s="236">
        <v>0</v>
      </c>
      <c r="AM49" s="236">
        <v>0</v>
      </c>
      <c r="AN49" s="236">
        <v>0</v>
      </c>
      <c r="AO49" s="236">
        <v>0</v>
      </c>
      <c r="AP49" s="236">
        <v>0</v>
      </c>
      <c r="AQ49" s="236">
        <v>0</v>
      </c>
      <c r="AR49" s="236">
        <v>0</v>
      </c>
      <c r="AS49" s="236">
        <v>0</v>
      </c>
      <c r="AT49" s="236">
        <v>0</v>
      </c>
      <c r="AU49" s="236">
        <v>0</v>
      </c>
      <c r="AV49" s="236">
        <v>0</v>
      </c>
      <c r="AW49" s="236">
        <v>0</v>
      </c>
      <c r="AX49" s="236">
        <v>0</v>
      </c>
      <c r="AY49" s="236">
        <v>0</v>
      </c>
      <c r="AZ49" s="236">
        <v>12</v>
      </c>
      <c r="BA49" s="236">
        <v>12</v>
      </c>
      <c r="BB49" s="236">
        <v>12</v>
      </c>
      <c r="BC49" s="236">
        <v>92</v>
      </c>
      <c r="BD49" s="236">
        <v>92</v>
      </c>
      <c r="BE49" s="236">
        <v>91</v>
      </c>
      <c r="BF49" s="236">
        <v>1</v>
      </c>
      <c r="BG49" s="236">
        <v>0</v>
      </c>
      <c r="BH49" s="236">
        <v>0</v>
      </c>
      <c r="BI49" s="236">
        <v>0</v>
      </c>
      <c r="BJ49" s="236">
        <v>0</v>
      </c>
      <c r="BK49" s="236">
        <v>0</v>
      </c>
      <c r="BL49" s="236">
        <v>0</v>
      </c>
      <c r="BM49" s="236">
        <v>0</v>
      </c>
      <c r="BN49" s="236">
        <v>0</v>
      </c>
      <c r="BO49" s="236">
        <v>0</v>
      </c>
      <c r="BP49" s="236">
        <v>0</v>
      </c>
      <c r="BQ49" s="236">
        <v>0</v>
      </c>
      <c r="BR49" s="236">
        <v>0</v>
      </c>
      <c r="BS49" s="236">
        <v>0</v>
      </c>
      <c r="BT49" s="236">
        <v>0</v>
      </c>
      <c r="BU49" s="236">
        <v>0</v>
      </c>
      <c r="BV49" s="236">
        <v>0</v>
      </c>
      <c r="BW49" s="236">
        <v>0</v>
      </c>
      <c r="BX49" s="236">
        <v>0</v>
      </c>
      <c r="BY49" s="236">
        <v>0</v>
      </c>
      <c r="BZ49" s="236">
        <v>0</v>
      </c>
      <c r="CA49" s="236">
        <v>0</v>
      </c>
      <c r="CB49" s="236">
        <v>0</v>
      </c>
      <c r="CC49" s="236">
        <v>0</v>
      </c>
      <c r="CD49" s="236">
        <v>0</v>
      </c>
      <c r="CE49" s="236">
        <v>0</v>
      </c>
      <c r="CF49" s="236">
        <v>0</v>
      </c>
      <c r="CG49" s="236">
        <v>0</v>
      </c>
      <c r="CH49" s="236">
        <v>0</v>
      </c>
      <c r="CI49" s="236">
        <f t="shared" si="0"/>
        <v>163</v>
      </c>
      <c r="CJ49" s="236">
        <v>163</v>
      </c>
      <c r="CK49" s="236">
        <v>94</v>
      </c>
      <c r="CL49" s="236">
        <v>69</v>
      </c>
      <c r="CM49" s="236">
        <v>0</v>
      </c>
      <c r="CN49" s="236">
        <v>0</v>
      </c>
      <c r="CO49" s="236">
        <v>0</v>
      </c>
      <c r="CP49" s="236">
        <v>0</v>
      </c>
      <c r="CQ49" s="236">
        <v>0</v>
      </c>
      <c r="CR49" s="236">
        <v>0</v>
      </c>
      <c r="CS49" s="236">
        <v>0</v>
      </c>
      <c r="CT49" s="236">
        <v>33</v>
      </c>
      <c r="CU49" s="236">
        <v>33</v>
      </c>
      <c r="CV49" s="236">
        <v>33</v>
      </c>
      <c r="CX49" s="236">
        <f t="shared" si="1"/>
        <v>59</v>
      </c>
      <c r="CY49" s="236">
        <f t="shared" si="5"/>
        <v>59</v>
      </c>
      <c r="CZ49" s="236">
        <f t="shared" si="3"/>
        <v>58</v>
      </c>
    </row>
    <row r="50" ht="18" customHeight="1" spans="1:104">
      <c r="A50" s="235" t="s">
        <v>125</v>
      </c>
      <c r="B50" s="236">
        <v>0</v>
      </c>
      <c r="C50" s="236">
        <v>0</v>
      </c>
      <c r="D50" s="236">
        <v>0</v>
      </c>
      <c r="E50" s="236">
        <v>0</v>
      </c>
      <c r="F50" s="236">
        <v>0</v>
      </c>
      <c r="G50" s="236">
        <v>0</v>
      </c>
      <c r="H50" s="236">
        <v>0</v>
      </c>
      <c r="I50" s="236">
        <v>0</v>
      </c>
      <c r="J50" s="236">
        <v>0</v>
      </c>
      <c r="K50" s="236">
        <v>0</v>
      </c>
      <c r="L50" s="236">
        <v>1</v>
      </c>
      <c r="M50" s="236">
        <v>0</v>
      </c>
      <c r="N50" s="236">
        <v>0</v>
      </c>
      <c r="O50" s="236">
        <v>0</v>
      </c>
      <c r="P50" s="236">
        <v>0</v>
      </c>
      <c r="Q50" s="236">
        <v>0</v>
      </c>
      <c r="R50" s="236">
        <v>0</v>
      </c>
      <c r="S50" s="236">
        <v>0</v>
      </c>
      <c r="T50" s="236">
        <v>0</v>
      </c>
      <c r="U50" s="236">
        <v>1950</v>
      </c>
      <c r="V50" s="236">
        <v>293</v>
      </c>
      <c r="W50" s="236">
        <v>143</v>
      </c>
      <c r="X50" s="236">
        <v>14</v>
      </c>
      <c r="Y50" s="236">
        <v>0</v>
      </c>
      <c r="Z50" s="236">
        <v>0</v>
      </c>
      <c r="AA50" s="236">
        <v>167</v>
      </c>
      <c r="AB50" s="236">
        <v>52</v>
      </c>
      <c r="AC50" s="236">
        <v>13</v>
      </c>
      <c r="AD50" s="236">
        <v>0</v>
      </c>
      <c r="AE50" s="236">
        <v>0</v>
      </c>
      <c r="AF50" s="236">
        <v>0</v>
      </c>
      <c r="AG50" s="236">
        <v>0</v>
      </c>
      <c r="AH50" s="236">
        <v>0</v>
      </c>
      <c r="AI50" s="236">
        <v>0</v>
      </c>
      <c r="AJ50" s="236">
        <v>0</v>
      </c>
      <c r="AK50" s="236">
        <v>1</v>
      </c>
      <c r="AL50" s="236">
        <v>0</v>
      </c>
      <c r="AM50" s="236">
        <v>0</v>
      </c>
      <c r="AN50" s="236">
        <v>0</v>
      </c>
      <c r="AO50" s="236">
        <v>0</v>
      </c>
      <c r="AP50" s="236">
        <v>0</v>
      </c>
      <c r="AQ50" s="236">
        <v>0</v>
      </c>
      <c r="AR50" s="236">
        <v>0</v>
      </c>
      <c r="AS50" s="236">
        <v>0</v>
      </c>
      <c r="AT50" s="236">
        <v>0</v>
      </c>
      <c r="AU50" s="236">
        <v>0</v>
      </c>
      <c r="AV50" s="236">
        <v>0</v>
      </c>
      <c r="AW50" s="236">
        <v>0</v>
      </c>
      <c r="AX50" s="236">
        <v>0</v>
      </c>
      <c r="AY50" s="236">
        <v>0</v>
      </c>
      <c r="AZ50" s="236">
        <v>12</v>
      </c>
      <c r="BA50" s="236">
        <v>12</v>
      </c>
      <c r="BB50" s="236">
        <v>12</v>
      </c>
      <c r="BC50" s="236">
        <v>92</v>
      </c>
      <c r="BD50" s="236">
        <v>92</v>
      </c>
      <c r="BE50" s="236">
        <v>88</v>
      </c>
      <c r="BF50" s="236">
        <v>0</v>
      </c>
      <c r="BG50" s="236">
        <v>0</v>
      </c>
      <c r="BH50" s="236">
        <v>0</v>
      </c>
      <c r="BI50" s="236">
        <v>0</v>
      </c>
      <c r="BJ50" s="236">
        <v>0</v>
      </c>
      <c r="BK50" s="236">
        <v>0</v>
      </c>
      <c r="BL50" s="236">
        <v>0</v>
      </c>
      <c r="BM50" s="236">
        <v>0</v>
      </c>
      <c r="BN50" s="236">
        <v>0</v>
      </c>
      <c r="BO50" s="236">
        <v>0</v>
      </c>
      <c r="BP50" s="236">
        <v>0</v>
      </c>
      <c r="BQ50" s="236">
        <v>0</v>
      </c>
      <c r="BR50" s="236">
        <v>0</v>
      </c>
      <c r="BS50" s="236">
        <v>0</v>
      </c>
      <c r="BT50" s="236">
        <v>0</v>
      </c>
      <c r="BU50" s="236">
        <v>0</v>
      </c>
      <c r="BV50" s="236">
        <v>0</v>
      </c>
      <c r="BW50" s="236">
        <v>0</v>
      </c>
      <c r="BX50" s="236">
        <v>0</v>
      </c>
      <c r="BY50" s="236">
        <v>0</v>
      </c>
      <c r="BZ50" s="236">
        <v>0</v>
      </c>
      <c r="CA50" s="236">
        <v>0</v>
      </c>
      <c r="CB50" s="236">
        <v>0</v>
      </c>
      <c r="CC50" s="236">
        <v>0</v>
      </c>
      <c r="CD50" s="236">
        <v>0</v>
      </c>
      <c r="CE50" s="236">
        <v>0</v>
      </c>
      <c r="CF50" s="236">
        <v>0</v>
      </c>
      <c r="CG50" s="236">
        <v>0</v>
      </c>
      <c r="CH50" s="236">
        <v>0</v>
      </c>
      <c r="CI50" s="236">
        <v>167</v>
      </c>
      <c r="CJ50" s="236">
        <v>167</v>
      </c>
      <c r="CK50" s="236">
        <v>115</v>
      </c>
      <c r="CL50" s="236">
        <v>52</v>
      </c>
      <c r="CM50" s="236">
        <v>0</v>
      </c>
      <c r="CN50" s="236">
        <v>0</v>
      </c>
      <c r="CO50" s="236">
        <v>1</v>
      </c>
      <c r="CP50" s="236">
        <v>1</v>
      </c>
      <c r="CQ50" s="236">
        <v>1</v>
      </c>
      <c r="CR50" s="236">
        <v>0</v>
      </c>
      <c r="CS50" s="236">
        <v>0</v>
      </c>
      <c r="CT50" s="236">
        <v>33</v>
      </c>
      <c r="CU50" s="236">
        <v>33</v>
      </c>
      <c r="CV50" s="236">
        <v>33</v>
      </c>
      <c r="CX50" s="236">
        <f t="shared" si="1"/>
        <v>59</v>
      </c>
      <c r="CY50" s="236">
        <f t="shared" si="5"/>
        <v>59</v>
      </c>
      <c r="CZ50" s="236">
        <f t="shared" si="3"/>
        <v>55</v>
      </c>
    </row>
    <row r="51" ht="18" customHeight="1" spans="1:104">
      <c r="A51" s="235" t="s">
        <v>126</v>
      </c>
      <c r="B51" s="236">
        <v>0</v>
      </c>
      <c r="C51" s="236">
        <v>0</v>
      </c>
      <c r="D51" s="236">
        <v>0</v>
      </c>
      <c r="E51" s="236">
        <v>0</v>
      </c>
      <c r="F51" s="236">
        <v>0</v>
      </c>
      <c r="G51" s="236">
        <v>0</v>
      </c>
      <c r="H51" s="236">
        <v>0</v>
      </c>
      <c r="I51" s="236">
        <v>0</v>
      </c>
      <c r="J51" s="236">
        <v>0</v>
      </c>
      <c r="K51" s="236">
        <v>0</v>
      </c>
      <c r="L51" s="236">
        <v>0</v>
      </c>
      <c r="M51" s="236">
        <v>0</v>
      </c>
      <c r="N51" s="236">
        <v>0</v>
      </c>
      <c r="O51" s="236">
        <v>0</v>
      </c>
      <c r="P51" s="236">
        <v>0</v>
      </c>
      <c r="Q51" s="236">
        <v>0</v>
      </c>
      <c r="R51" s="236">
        <v>0</v>
      </c>
      <c r="S51" s="236">
        <v>0</v>
      </c>
      <c r="T51" s="236">
        <v>0</v>
      </c>
      <c r="U51" s="236">
        <v>1534</v>
      </c>
      <c r="V51" s="236">
        <v>228</v>
      </c>
      <c r="W51" s="236">
        <v>118</v>
      </c>
      <c r="X51" s="236">
        <v>8</v>
      </c>
      <c r="Y51" s="236">
        <v>0</v>
      </c>
      <c r="Z51" s="236">
        <v>0</v>
      </c>
      <c r="AA51" s="236">
        <v>115</v>
      </c>
      <c r="AB51" s="236">
        <v>44</v>
      </c>
      <c r="AC51" s="236">
        <v>15</v>
      </c>
      <c r="AD51" s="236">
        <v>0</v>
      </c>
      <c r="AE51" s="236">
        <v>0</v>
      </c>
      <c r="AF51" s="236">
        <v>0</v>
      </c>
      <c r="AG51" s="236">
        <v>0</v>
      </c>
      <c r="AH51" s="236">
        <v>0</v>
      </c>
      <c r="AI51" s="236">
        <v>0</v>
      </c>
      <c r="AJ51" s="236">
        <v>0</v>
      </c>
      <c r="AK51" s="236">
        <v>0</v>
      </c>
      <c r="AL51" s="236">
        <v>0</v>
      </c>
      <c r="AM51" s="236">
        <v>0</v>
      </c>
      <c r="AN51" s="236">
        <v>0</v>
      </c>
      <c r="AO51" s="236">
        <v>0</v>
      </c>
      <c r="AP51" s="236">
        <v>0</v>
      </c>
      <c r="AQ51" s="236">
        <v>0</v>
      </c>
      <c r="AR51" s="236">
        <v>0</v>
      </c>
      <c r="AS51" s="236">
        <v>0</v>
      </c>
      <c r="AT51" s="236">
        <v>0</v>
      </c>
      <c r="AU51" s="236">
        <v>0</v>
      </c>
      <c r="AV51" s="236">
        <v>0</v>
      </c>
      <c r="AW51" s="236">
        <v>0</v>
      </c>
      <c r="AX51" s="236">
        <v>0</v>
      </c>
      <c r="AY51" s="236">
        <v>0</v>
      </c>
      <c r="AZ51" s="236">
        <v>12</v>
      </c>
      <c r="BA51" s="236">
        <v>12</v>
      </c>
      <c r="BB51" s="236">
        <v>12</v>
      </c>
      <c r="BC51" s="236">
        <v>92</v>
      </c>
      <c r="BD51" s="236">
        <v>92</v>
      </c>
      <c r="BE51" s="236">
        <v>92</v>
      </c>
      <c r="BF51" s="236">
        <v>2</v>
      </c>
      <c r="BG51" s="236">
        <v>0</v>
      </c>
      <c r="BH51" s="236">
        <v>0</v>
      </c>
      <c r="BI51" s="236">
        <v>0</v>
      </c>
      <c r="BJ51" s="236">
        <v>0</v>
      </c>
      <c r="BK51" s="236">
        <v>0</v>
      </c>
      <c r="BL51" s="236">
        <v>0</v>
      </c>
      <c r="BM51" s="236">
        <v>0</v>
      </c>
      <c r="BN51" s="236">
        <v>0</v>
      </c>
      <c r="BO51" s="236">
        <v>0</v>
      </c>
      <c r="BP51" s="236">
        <v>0</v>
      </c>
      <c r="BQ51" s="236">
        <v>0</v>
      </c>
      <c r="BR51" s="236">
        <v>0</v>
      </c>
      <c r="BS51" s="236">
        <v>0</v>
      </c>
      <c r="BT51" s="236">
        <v>0</v>
      </c>
      <c r="BU51" s="236">
        <v>0</v>
      </c>
      <c r="BV51" s="236">
        <v>0</v>
      </c>
      <c r="BW51" s="236">
        <v>0</v>
      </c>
      <c r="BX51" s="236">
        <v>0</v>
      </c>
      <c r="BY51" s="236">
        <v>0</v>
      </c>
      <c r="BZ51" s="236">
        <v>0</v>
      </c>
      <c r="CA51" s="236">
        <v>0</v>
      </c>
      <c r="CB51" s="236">
        <v>0</v>
      </c>
      <c r="CC51" s="236">
        <v>0</v>
      </c>
      <c r="CD51" s="236">
        <v>0</v>
      </c>
      <c r="CE51" s="236">
        <v>0</v>
      </c>
      <c r="CF51" s="236">
        <v>0</v>
      </c>
      <c r="CG51" s="236">
        <v>0</v>
      </c>
      <c r="CH51" s="236">
        <v>0</v>
      </c>
      <c r="CI51" s="236">
        <v>115</v>
      </c>
      <c r="CJ51" s="236">
        <v>115</v>
      </c>
      <c r="CK51" s="236">
        <v>71</v>
      </c>
      <c r="CL51" s="236">
        <v>44</v>
      </c>
      <c r="CM51" s="236">
        <v>0</v>
      </c>
      <c r="CN51" s="236">
        <v>0</v>
      </c>
      <c r="CO51" s="236">
        <v>0</v>
      </c>
      <c r="CP51" s="236">
        <v>0</v>
      </c>
      <c r="CQ51" s="236">
        <v>0</v>
      </c>
      <c r="CR51" s="236">
        <v>0</v>
      </c>
      <c r="CS51" s="236">
        <v>0</v>
      </c>
      <c r="CT51" s="236">
        <v>33</v>
      </c>
      <c r="CU51" s="236">
        <v>33</v>
      </c>
      <c r="CV51" s="236">
        <v>33</v>
      </c>
      <c r="CX51" s="236">
        <f t="shared" si="1"/>
        <v>59</v>
      </c>
      <c r="CY51" s="236">
        <f t="shared" si="5"/>
        <v>59</v>
      </c>
      <c r="CZ51" s="236">
        <f t="shared" si="3"/>
        <v>59</v>
      </c>
    </row>
    <row r="52" ht="18" customHeight="1" spans="1:104">
      <c r="A52" s="235" t="s">
        <v>127</v>
      </c>
      <c r="B52" s="236">
        <v>0</v>
      </c>
      <c r="C52" s="236">
        <v>0</v>
      </c>
      <c r="D52" s="236">
        <v>0</v>
      </c>
      <c r="E52" s="236">
        <v>0</v>
      </c>
      <c r="F52" s="236">
        <v>0</v>
      </c>
      <c r="G52" s="236">
        <v>0</v>
      </c>
      <c r="H52" s="236">
        <v>0</v>
      </c>
      <c r="I52" s="236">
        <v>0</v>
      </c>
      <c r="J52" s="236">
        <v>0</v>
      </c>
      <c r="K52" s="236">
        <v>0</v>
      </c>
      <c r="L52" s="236">
        <v>1</v>
      </c>
      <c r="M52" s="236">
        <v>0</v>
      </c>
      <c r="N52" s="236">
        <v>0</v>
      </c>
      <c r="O52" s="236">
        <v>0</v>
      </c>
      <c r="P52" s="236">
        <v>0</v>
      </c>
      <c r="Q52" s="236">
        <v>0</v>
      </c>
      <c r="R52" s="236">
        <v>0</v>
      </c>
      <c r="S52" s="236">
        <v>0</v>
      </c>
      <c r="T52" s="236">
        <v>0</v>
      </c>
      <c r="U52" s="236">
        <v>1250</v>
      </c>
      <c r="V52" s="236">
        <v>226</v>
      </c>
      <c r="W52" s="236">
        <v>76</v>
      </c>
      <c r="X52" s="236">
        <v>5</v>
      </c>
      <c r="Y52" s="236">
        <v>0</v>
      </c>
      <c r="Z52" s="236">
        <v>0</v>
      </c>
      <c r="AA52" s="236">
        <v>112</v>
      </c>
      <c r="AB52" s="236">
        <v>41</v>
      </c>
      <c r="AC52" s="236">
        <v>12</v>
      </c>
      <c r="AD52" s="236">
        <v>0</v>
      </c>
      <c r="AE52" s="236">
        <v>0</v>
      </c>
      <c r="AF52" s="236">
        <v>0</v>
      </c>
      <c r="AG52" s="236">
        <v>0</v>
      </c>
      <c r="AH52" s="236">
        <v>0</v>
      </c>
      <c r="AI52" s="236">
        <v>0</v>
      </c>
      <c r="AJ52" s="236">
        <v>0</v>
      </c>
      <c r="AK52" s="236">
        <v>0</v>
      </c>
      <c r="AL52" s="236">
        <v>0</v>
      </c>
      <c r="AM52" s="236">
        <v>0</v>
      </c>
      <c r="AN52" s="236">
        <v>0</v>
      </c>
      <c r="AO52" s="236">
        <v>0</v>
      </c>
      <c r="AP52" s="236">
        <v>0</v>
      </c>
      <c r="AQ52" s="236">
        <v>0</v>
      </c>
      <c r="AR52" s="236">
        <v>0</v>
      </c>
      <c r="AS52" s="236">
        <v>0</v>
      </c>
      <c r="AT52" s="236">
        <v>0</v>
      </c>
      <c r="AU52" s="236">
        <v>0</v>
      </c>
      <c r="AV52" s="236">
        <v>0</v>
      </c>
      <c r="AW52" s="236">
        <v>0</v>
      </c>
      <c r="AX52" s="236">
        <v>0</v>
      </c>
      <c r="AY52" s="236">
        <v>0</v>
      </c>
      <c r="AZ52" s="236">
        <v>12</v>
      </c>
      <c r="BA52" s="236">
        <v>12</v>
      </c>
      <c r="BB52" s="236">
        <v>12</v>
      </c>
      <c r="BC52" s="236">
        <v>92</v>
      </c>
      <c r="BD52" s="236">
        <v>92</v>
      </c>
      <c r="BE52" s="236">
        <v>92</v>
      </c>
      <c r="BF52" s="236">
        <v>0</v>
      </c>
      <c r="BG52" s="236">
        <v>0</v>
      </c>
      <c r="BH52" s="236">
        <v>0</v>
      </c>
      <c r="BI52" s="236">
        <v>0</v>
      </c>
      <c r="BJ52" s="236">
        <v>0</v>
      </c>
      <c r="BK52" s="236">
        <v>0</v>
      </c>
      <c r="BL52" s="236">
        <v>0</v>
      </c>
      <c r="BM52" s="236">
        <v>0</v>
      </c>
      <c r="BN52" s="236">
        <v>0</v>
      </c>
      <c r="BO52" s="236">
        <v>0</v>
      </c>
      <c r="BP52" s="236">
        <v>0</v>
      </c>
      <c r="BQ52" s="236">
        <v>0</v>
      </c>
      <c r="BR52" s="236">
        <v>0</v>
      </c>
      <c r="BS52" s="236">
        <v>0</v>
      </c>
      <c r="BT52" s="236">
        <v>0</v>
      </c>
      <c r="BU52" s="236">
        <v>0</v>
      </c>
      <c r="BV52" s="236">
        <v>0</v>
      </c>
      <c r="BW52" s="236">
        <v>0</v>
      </c>
      <c r="BX52" s="236">
        <v>0</v>
      </c>
      <c r="BY52" s="236">
        <v>0</v>
      </c>
      <c r="BZ52" s="236">
        <v>0</v>
      </c>
      <c r="CA52" s="236">
        <v>0</v>
      </c>
      <c r="CB52" s="236">
        <v>0</v>
      </c>
      <c r="CC52" s="236">
        <v>0</v>
      </c>
      <c r="CD52" s="236">
        <v>0</v>
      </c>
      <c r="CE52" s="236">
        <v>0</v>
      </c>
      <c r="CF52" s="236">
        <v>0</v>
      </c>
      <c r="CG52" s="236">
        <v>0</v>
      </c>
      <c r="CH52" s="236">
        <v>0</v>
      </c>
      <c r="CI52" s="236">
        <v>112</v>
      </c>
      <c r="CJ52" s="236">
        <v>112</v>
      </c>
      <c r="CK52" s="236">
        <v>71</v>
      </c>
      <c r="CL52" s="236">
        <v>41</v>
      </c>
      <c r="CM52" s="236">
        <v>0</v>
      </c>
      <c r="CN52" s="236">
        <v>0</v>
      </c>
      <c r="CO52" s="236">
        <v>1</v>
      </c>
      <c r="CP52" s="236">
        <v>1</v>
      </c>
      <c r="CQ52" s="236">
        <v>1</v>
      </c>
      <c r="CR52" s="236">
        <v>0</v>
      </c>
      <c r="CS52" s="236">
        <v>0</v>
      </c>
      <c r="CT52" s="236">
        <v>33</v>
      </c>
      <c r="CU52" s="236">
        <v>33</v>
      </c>
      <c r="CV52" s="236">
        <v>33</v>
      </c>
      <c r="CX52" s="236">
        <f t="shared" si="1"/>
        <v>59</v>
      </c>
      <c r="CY52" s="236">
        <f t="shared" si="5"/>
        <v>59</v>
      </c>
      <c r="CZ52" s="236">
        <f t="shared" si="3"/>
        <v>59</v>
      </c>
    </row>
    <row r="53" ht="18" customHeight="1" spans="1:104">
      <c r="A53" s="235" t="s">
        <v>128</v>
      </c>
      <c r="B53" s="236">
        <v>0</v>
      </c>
      <c r="C53" s="236">
        <v>0</v>
      </c>
      <c r="D53" s="236">
        <v>0</v>
      </c>
      <c r="E53" s="236">
        <v>0</v>
      </c>
      <c r="F53" s="236">
        <v>0</v>
      </c>
      <c r="G53" s="236">
        <v>0</v>
      </c>
      <c r="H53" s="236">
        <v>0</v>
      </c>
      <c r="I53" s="236">
        <v>0</v>
      </c>
      <c r="J53" s="236">
        <v>0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  <c r="P53" s="236">
        <v>0</v>
      </c>
      <c r="Q53" s="236">
        <v>0</v>
      </c>
      <c r="R53" s="236">
        <v>0</v>
      </c>
      <c r="S53" s="236">
        <v>0</v>
      </c>
      <c r="T53" s="236">
        <v>0</v>
      </c>
      <c r="U53" s="236">
        <v>1308</v>
      </c>
      <c r="V53" s="236">
        <v>205</v>
      </c>
      <c r="W53" s="236">
        <v>70</v>
      </c>
      <c r="X53" s="236">
        <v>10</v>
      </c>
      <c r="Y53" s="236">
        <v>0</v>
      </c>
      <c r="Z53" s="236">
        <v>0</v>
      </c>
      <c r="AA53" s="236">
        <v>84</v>
      </c>
      <c r="AB53" s="236">
        <v>32</v>
      </c>
      <c r="AC53" s="236">
        <v>12</v>
      </c>
      <c r="AD53" s="236">
        <v>0</v>
      </c>
      <c r="AE53" s="236">
        <v>0</v>
      </c>
      <c r="AF53" s="236">
        <v>0</v>
      </c>
      <c r="AG53" s="236">
        <v>0</v>
      </c>
      <c r="AH53" s="236">
        <v>0</v>
      </c>
      <c r="AI53" s="236">
        <v>0</v>
      </c>
      <c r="AJ53" s="236">
        <v>0</v>
      </c>
      <c r="AK53" s="236">
        <v>0</v>
      </c>
      <c r="AL53" s="236">
        <v>0</v>
      </c>
      <c r="AM53" s="236">
        <v>0</v>
      </c>
      <c r="AN53" s="236">
        <v>0</v>
      </c>
      <c r="AO53" s="236">
        <v>0</v>
      </c>
      <c r="AP53" s="236">
        <v>0</v>
      </c>
      <c r="AQ53" s="236">
        <v>0</v>
      </c>
      <c r="AR53" s="236">
        <v>0</v>
      </c>
      <c r="AS53" s="236">
        <v>0</v>
      </c>
      <c r="AT53" s="236">
        <v>0</v>
      </c>
      <c r="AU53" s="236">
        <v>0</v>
      </c>
      <c r="AV53" s="236">
        <v>0</v>
      </c>
      <c r="AW53" s="236">
        <v>0</v>
      </c>
      <c r="AX53" s="236">
        <v>0</v>
      </c>
      <c r="AY53" s="236">
        <v>0</v>
      </c>
      <c r="AZ53" s="236">
        <v>12</v>
      </c>
      <c r="BA53" s="236">
        <v>12</v>
      </c>
      <c r="BB53" s="236">
        <v>12</v>
      </c>
      <c r="BC53" s="236">
        <v>92</v>
      </c>
      <c r="BD53" s="236">
        <v>92</v>
      </c>
      <c r="BE53" s="236">
        <v>92</v>
      </c>
      <c r="BF53" s="236">
        <v>1</v>
      </c>
      <c r="BG53" s="236">
        <v>0</v>
      </c>
      <c r="BH53" s="236">
        <v>0</v>
      </c>
      <c r="BI53" s="236">
        <v>0</v>
      </c>
      <c r="BJ53" s="236">
        <v>0</v>
      </c>
      <c r="BK53" s="236">
        <v>0</v>
      </c>
      <c r="BL53" s="236">
        <v>0</v>
      </c>
      <c r="BM53" s="236">
        <v>0</v>
      </c>
      <c r="BN53" s="236">
        <v>0</v>
      </c>
      <c r="BO53" s="236">
        <v>0</v>
      </c>
      <c r="BP53" s="236">
        <v>0</v>
      </c>
      <c r="BQ53" s="236">
        <v>0</v>
      </c>
      <c r="BR53" s="236">
        <v>0</v>
      </c>
      <c r="BS53" s="236">
        <v>0</v>
      </c>
      <c r="BT53" s="236">
        <v>0</v>
      </c>
      <c r="BU53" s="236">
        <v>0</v>
      </c>
      <c r="BV53" s="236">
        <v>0</v>
      </c>
      <c r="BW53" s="236">
        <v>0</v>
      </c>
      <c r="BX53" s="236">
        <v>0</v>
      </c>
      <c r="BY53" s="236">
        <v>0</v>
      </c>
      <c r="BZ53" s="236">
        <v>0</v>
      </c>
      <c r="CA53" s="236">
        <v>0</v>
      </c>
      <c r="CB53" s="236">
        <v>0</v>
      </c>
      <c r="CC53" s="236">
        <v>0</v>
      </c>
      <c r="CD53" s="236">
        <v>0</v>
      </c>
      <c r="CE53" s="236">
        <v>0</v>
      </c>
      <c r="CF53" s="236">
        <v>0</v>
      </c>
      <c r="CG53" s="236">
        <v>0</v>
      </c>
      <c r="CH53" s="236">
        <v>0</v>
      </c>
      <c r="CI53" s="236">
        <v>84</v>
      </c>
      <c r="CJ53" s="236">
        <v>84</v>
      </c>
      <c r="CK53" s="236">
        <v>52</v>
      </c>
      <c r="CL53" s="236">
        <v>32</v>
      </c>
      <c r="CM53" s="236">
        <v>0</v>
      </c>
      <c r="CN53" s="236">
        <v>0</v>
      </c>
      <c r="CO53" s="236">
        <v>0</v>
      </c>
      <c r="CP53" s="236">
        <v>0</v>
      </c>
      <c r="CQ53" s="236">
        <v>0</v>
      </c>
      <c r="CR53" s="236">
        <v>0</v>
      </c>
      <c r="CS53" s="236">
        <v>0</v>
      </c>
      <c r="CT53" s="236">
        <v>33</v>
      </c>
      <c r="CU53" s="236">
        <v>33</v>
      </c>
      <c r="CV53" s="236">
        <v>33</v>
      </c>
      <c r="CX53" s="236">
        <f t="shared" si="1"/>
        <v>59</v>
      </c>
      <c r="CY53" s="236">
        <f t="shared" si="5"/>
        <v>59</v>
      </c>
      <c r="CZ53" s="236">
        <f t="shared" si="3"/>
        <v>59</v>
      </c>
    </row>
    <row r="54" ht="18" customHeight="1" spans="1:104">
      <c r="A54" s="235" t="s">
        <v>129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>
        <v>0</v>
      </c>
      <c r="BI54" s="236"/>
      <c r="BJ54" s="236"/>
      <c r="BK54" s="236"/>
      <c r="BL54" s="236"/>
      <c r="BM54" s="236"/>
      <c r="BN54" s="236"/>
      <c r="BO54" s="236"/>
      <c r="BP54" s="236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236"/>
      <c r="CC54" s="236"/>
      <c r="CD54" s="236"/>
      <c r="CE54" s="236"/>
      <c r="CF54" s="236"/>
      <c r="CG54" s="236"/>
      <c r="CH54" s="236"/>
      <c r="CI54" s="236">
        <f t="shared" si="0"/>
        <v>0</v>
      </c>
      <c r="CJ54" s="236"/>
      <c r="CK54" s="236"/>
      <c r="CL54" s="236"/>
      <c r="CM54" s="236"/>
      <c r="CN54" s="236"/>
      <c r="CO54" s="236"/>
      <c r="CP54" s="236"/>
      <c r="CQ54" s="236"/>
      <c r="CR54" s="236"/>
      <c r="CS54" s="236"/>
      <c r="CT54" s="236"/>
      <c r="CU54" s="236"/>
      <c r="CV54" s="236"/>
      <c r="CX54" s="236">
        <f t="shared" si="1"/>
        <v>0</v>
      </c>
      <c r="CY54" s="236">
        <f t="shared" si="5"/>
        <v>0</v>
      </c>
      <c r="CZ54" s="236">
        <f t="shared" si="3"/>
        <v>0</v>
      </c>
    </row>
    <row r="55" ht="18" customHeight="1" spans="1:104">
      <c r="A55" s="235" t="s">
        <v>130</v>
      </c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>
        <v>0</v>
      </c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6"/>
      <c r="CD55" s="236"/>
      <c r="CE55" s="236"/>
      <c r="CF55" s="236"/>
      <c r="CG55" s="236"/>
      <c r="CH55" s="236"/>
      <c r="CI55" s="236">
        <f t="shared" si="0"/>
        <v>0</v>
      </c>
      <c r="CJ55" s="236"/>
      <c r="CK55" s="236"/>
      <c r="CL55" s="236"/>
      <c r="CM55" s="236"/>
      <c r="CN55" s="236"/>
      <c r="CO55" s="236"/>
      <c r="CP55" s="236"/>
      <c r="CQ55" s="236"/>
      <c r="CR55" s="236"/>
      <c r="CS55" s="236"/>
      <c r="CT55" s="236"/>
      <c r="CU55" s="236"/>
      <c r="CV55" s="236"/>
      <c r="CX55" s="236">
        <f t="shared" si="1"/>
        <v>0</v>
      </c>
      <c r="CY55" s="236">
        <f t="shared" si="5"/>
        <v>0</v>
      </c>
      <c r="CZ55" s="236">
        <f t="shared" si="3"/>
        <v>0</v>
      </c>
    </row>
    <row r="56" ht="18" customHeight="1" spans="1:104">
      <c r="A56" s="235" t="s">
        <v>131</v>
      </c>
      <c r="B56" s="23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>
        <v>0</v>
      </c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6"/>
      <c r="CB56" s="236"/>
      <c r="CC56" s="236"/>
      <c r="CD56" s="236"/>
      <c r="CE56" s="236"/>
      <c r="CF56" s="236"/>
      <c r="CG56" s="236"/>
      <c r="CH56" s="236"/>
      <c r="CI56" s="236">
        <f t="shared" si="0"/>
        <v>0</v>
      </c>
      <c r="CJ56" s="236"/>
      <c r="CK56" s="236"/>
      <c r="CL56" s="236"/>
      <c r="CM56" s="236"/>
      <c r="CN56" s="236"/>
      <c r="CO56" s="236"/>
      <c r="CP56" s="236"/>
      <c r="CQ56" s="236"/>
      <c r="CR56" s="236"/>
      <c r="CS56" s="236"/>
      <c r="CT56" s="236"/>
      <c r="CU56" s="236"/>
      <c r="CV56" s="236"/>
      <c r="CX56" s="236">
        <f t="shared" si="1"/>
        <v>0</v>
      </c>
      <c r="CY56" s="236">
        <f t="shared" si="5"/>
        <v>0</v>
      </c>
      <c r="CZ56" s="236">
        <f t="shared" si="3"/>
        <v>0</v>
      </c>
    </row>
    <row r="57" ht="18" customHeight="1" spans="1:104">
      <c r="A57" s="235" t="s">
        <v>132</v>
      </c>
      <c r="B57" s="236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>
        <v>0</v>
      </c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236"/>
      <c r="CC57" s="236"/>
      <c r="CD57" s="236"/>
      <c r="CE57" s="236"/>
      <c r="CF57" s="236"/>
      <c r="CG57" s="236"/>
      <c r="CH57" s="236"/>
      <c r="CI57" s="236">
        <f t="shared" si="0"/>
        <v>0</v>
      </c>
      <c r="CJ57" s="236"/>
      <c r="CK57" s="236"/>
      <c r="CL57" s="236"/>
      <c r="CM57" s="236"/>
      <c r="CN57" s="236"/>
      <c r="CO57" s="236"/>
      <c r="CP57" s="236"/>
      <c r="CQ57" s="236"/>
      <c r="CR57" s="236"/>
      <c r="CS57" s="236"/>
      <c r="CT57" s="236"/>
      <c r="CU57" s="236"/>
      <c r="CV57" s="236"/>
      <c r="CX57" s="236"/>
      <c r="CY57" s="236"/>
      <c r="CZ57" s="236"/>
    </row>
    <row r="58" s="170" customFormat="1" ht="38.25" customHeight="1" spans="1:104">
      <c r="A58" s="237" t="s">
        <v>133</v>
      </c>
      <c r="B58" s="238">
        <f t="shared" ref="B58:AG58" si="7">SUM(B5:B57)</f>
        <v>1</v>
      </c>
      <c r="C58" s="238">
        <f t="shared" si="7"/>
        <v>0</v>
      </c>
      <c r="D58" s="238">
        <f t="shared" si="7"/>
        <v>4</v>
      </c>
      <c r="E58" s="238">
        <f t="shared" si="7"/>
        <v>0</v>
      </c>
      <c r="F58" s="238">
        <f t="shared" si="7"/>
        <v>1</v>
      </c>
      <c r="G58" s="238">
        <f t="shared" si="7"/>
        <v>0</v>
      </c>
      <c r="H58" s="238">
        <f t="shared" si="7"/>
        <v>0</v>
      </c>
      <c r="I58" s="238">
        <f t="shared" si="7"/>
        <v>0</v>
      </c>
      <c r="J58" s="238">
        <f t="shared" si="7"/>
        <v>3</v>
      </c>
      <c r="K58" s="238">
        <f t="shared" si="7"/>
        <v>0</v>
      </c>
      <c r="L58" s="238">
        <f t="shared" si="7"/>
        <v>32</v>
      </c>
      <c r="M58" s="238">
        <f t="shared" si="7"/>
        <v>0</v>
      </c>
      <c r="N58" s="238">
        <f t="shared" si="7"/>
        <v>0</v>
      </c>
      <c r="O58" s="238">
        <f t="shared" si="7"/>
        <v>0</v>
      </c>
      <c r="P58" s="238">
        <f t="shared" si="7"/>
        <v>0</v>
      </c>
      <c r="Q58" s="238">
        <f t="shared" si="7"/>
        <v>0</v>
      </c>
      <c r="R58" s="238">
        <f t="shared" si="7"/>
        <v>5</v>
      </c>
      <c r="S58" s="238">
        <f t="shared" si="7"/>
        <v>0</v>
      </c>
      <c r="T58" s="238">
        <f t="shared" si="7"/>
        <v>0</v>
      </c>
      <c r="U58" s="238">
        <f t="shared" si="7"/>
        <v>70400</v>
      </c>
      <c r="V58" s="238">
        <f t="shared" si="7"/>
        <v>12687</v>
      </c>
      <c r="W58" s="238">
        <f t="shared" si="7"/>
        <v>5047</v>
      </c>
      <c r="X58" s="238">
        <f t="shared" si="7"/>
        <v>388</v>
      </c>
      <c r="Y58" s="238">
        <f t="shared" si="7"/>
        <v>0</v>
      </c>
      <c r="Z58" s="238">
        <f t="shared" si="7"/>
        <v>0</v>
      </c>
      <c r="AA58" s="238">
        <f t="shared" si="7"/>
        <v>3157</v>
      </c>
      <c r="AB58" s="238">
        <f t="shared" si="7"/>
        <v>1148</v>
      </c>
      <c r="AC58" s="238">
        <f t="shared" si="7"/>
        <v>382</v>
      </c>
      <c r="AD58" s="238">
        <f t="shared" si="7"/>
        <v>0</v>
      </c>
      <c r="AE58" s="238">
        <f t="shared" si="7"/>
        <v>0</v>
      </c>
      <c r="AF58" s="238">
        <f t="shared" si="7"/>
        <v>0</v>
      </c>
      <c r="AG58" s="238">
        <f t="shared" si="7"/>
        <v>1</v>
      </c>
      <c r="AH58" s="238">
        <f t="shared" ref="AH58:BM58" si="8">SUM(AH5:AH57)</f>
        <v>0</v>
      </c>
      <c r="AI58" s="238">
        <f t="shared" si="8"/>
        <v>1</v>
      </c>
      <c r="AJ58" s="238">
        <f t="shared" si="8"/>
        <v>0</v>
      </c>
      <c r="AK58" s="238">
        <f t="shared" si="8"/>
        <v>1</v>
      </c>
      <c r="AL58" s="238">
        <f t="shared" si="8"/>
        <v>0</v>
      </c>
      <c r="AM58" s="238">
        <f t="shared" si="8"/>
        <v>0</v>
      </c>
      <c r="AN58" s="238">
        <f t="shared" si="8"/>
        <v>0</v>
      </c>
      <c r="AO58" s="238">
        <f t="shared" si="8"/>
        <v>0</v>
      </c>
      <c r="AP58" s="238">
        <f t="shared" si="8"/>
        <v>0</v>
      </c>
      <c r="AQ58" s="238">
        <f t="shared" si="8"/>
        <v>0</v>
      </c>
      <c r="AR58" s="238">
        <f t="shared" si="8"/>
        <v>0</v>
      </c>
      <c r="AS58" s="238">
        <f t="shared" si="8"/>
        <v>0</v>
      </c>
      <c r="AT58" s="238">
        <f t="shared" si="8"/>
        <v>0</v>
      </c>
      <c r="AU58" s="238">
        <f t="shared" si="8"/>
        <v>0</v>
      </c>
      <c r="AV58" s="238">
        <f t="shared" si="8"/>
        <v>0</v>
      </c>
      <c r="AW58" s="238">
        <f t="shared" si="8"/>
        <v>0</v>
      </c>
      <c r="AX58" s="238">
        <f t="shared" si="8"/>
        <v>0</v>
      </c>
      <c r="AY58" s="238">
        <f t="shared" si="8"/>
        <v>0</v>
      </c>
      <c r="AZ58" s="238">
        <f t="shared" si="8"/>
        <v>588</v>
      </c>
      <c r="BA58" s="238">
        <f t="shared" si="8"/>
        <v>588</v>
      </c>
      <c r="BB58" s="238">
        <f t="shared" si="8"/>
        <v>588</v>
      </c>
      <c r="BC58" s="238">
        <f t="shared" si="8"/>
        <v>4508</v>
      </c>
      <c r="BD58" s="238">
        <f t="shared" si="8"/>
        <v>4074</v>
      </c>
      <c r="BE58" s="238">
        <f t="shared" si="8"/>
        <v>4042</v>
      </c>
      <c r="BF58" s="238">
        <f t="shared" si="8"/>
        <v>525</v>
      </c>
      <c r="BG58" s="238">
        <f t="shared" si="8"/>
        <v>0</v>
      </c>
      <c r="BH58" s="238">
        <f t="shared" si="8"/>
        <v>1</v>
      </c>
      <c r="BI58" s="238">
        <f t="shared" si="8"/>
        <v>1</v>
      </c>
      <c r="BJ58" s="238">
        <f t="shared" si="8"/>
        <v>1</v>
      </c>
      <c r="BK58" s="238">
        <f t="shared" si="8"/>
        <v>0</v>
      </c>
      <c r="BL58" s="238">
        <f t="shared" si="8"/>
        <v>0</v>
      </c>
      <c r="BM58" s="238">
        <f t="shared" si="8"/>
        <v>0</v>
      </c>
      <c r="BN58" s="238">
        <f t="shared" ref="BN58:CV58" si="9">SUM(BN5:BN57)</f>
        <v>0</v>
      </c>
      <c r="BO58" s="238">
        <f t="shared" si="9"/>
        <v>0</v>
      </c>
      <c r="BP58" s="238">
        <f t="shared" si="9"/>
        <v>0</v>
      </c>
      <c r="BQ58" s="238">
        <f t="shared" si="9"/>
        <v>0</v>
      </c>
      <c r="BR58" s="238">
        <f t="shared" si="9"/>
        <v>0</v>
      </c>
      <c r="BS58" s="238">
        <f t="shared" si="9"/>
        <v>0</v>
      </c>
      <c r="BT58" s="238">
        <f t="shared" si="9"/>
        <v>0</v>
      </c>
      <c r="BU58" s="238">
        <f t="shared" si="9"/>
        <v>0</v>
      </c>
      <c r="BV58" s="238">
        <f t="shared" si="9"/>
        <v>0</v>
      </c>
      <c r="BW58" s="238">
        <f t="shared" si="9"/>
        <v>0</v>
      </c>
      <c r="BX58" s="238">
        <f t="shared" si="9"/>
        <v>0</v>
      </c>
      <c r="BY58" s="238">
        <f t="shared" si="9"/>
        <v>0</v>
      </c>
      <c r="BZ58" s="238">
        <f t="shared" si="9"/>
        <v>0</v>
      </c>
      <c r="CA58" s="238">
        <f t="shared" si="9"/>
        <v>0</v>
      </c>
      <c r="CB58" s="238">
        <f t="shared" si="9"/>
        <v>0</v>
      </c>
      <c r="CC58" s="238">
        <f t="shared" si="9"/>
        <v>0</v>
      </c>
      <c r="CD58" s="238">
        <f t="shared" si="9"/>
        <v>0</v>
      </c>
      <c r="CE58" s="238">
        <f t="shared" si="9"/>
        <v>0</v>
      </c>
      <c r="CF58" s="238">
        <f t="shared" si="9"/>
        <v>0</v>
      </c>
      <c r="CG58" s="238">
        <f t="shared" si="9"/>
        <v>0</v>
      </c>
      <c r="CH58" s="238">
        <f t="shared" si="9"/>
        <v>0</v>
      </c>
      <c r="CI58" s="238">
        <f t="shared" si="9"/>
        <v>3157</v>
      </c>
      <c r="CJ58" s="238">
        <f t="shared" si="9"/>
        <v>3154</v>
      </c>
      <c r="CK58" s="238">
        <f t="shared" si="9"/>
        <v>2024</v>
      </c>
      <c r="CL58" s="238">
        <f t="shared" si="9"/>
        <v>1128</v>
      </c>
      <c r="CM58" s="238">
        <f t="shared" si="9"/>
        <v>4</v>
      </c>
      <c r="CN58" s="238">
        <f t="shared" si="9"/>
        <v>4</v>
      </c>
      <c r="CO58" s="238">
        <f t="shared" si="9"/>
        <v>32</v>
      </c>
      <c r="CP58" s="238">
        <f t="shared" si="9"/>
        <v>32</v>
      </c>
      <c r="CQ58" s="238">
        <f t="shared" si="9"/>
        <v>32</v>
      </c>
      <c r="CR58" s="238">
        <f t="shared" si="9"/>
        <v>3</v>
      </c>
      <c r="CS58" s="238">
        <f t="shared" si="9"/>
        <v>3</v>
      </c>
      <c r="CT58" s="238">
        <f t="shared" si="9"/>
        <v>1617</v>
      </c>
      <c r="CU58" s="238">
        <f t="shared" si="9"/>
        <v>1446</v>
      </c>
      <c r="CV58" s="238">
        <f t="shared" si="9"/>
        <v>1442</v>
      </c>
      <c r="CX58" s="238">
        <f t="shared" ref="CX58:CZ58" si="10">SUM(CX5:CX57)</f>
        <v>2891</v>
      </c>
      <c r="CY58" s="238">
        <f t="shared" si="10"/>
        <v>2628</v>
      </c>
      <c r="CZ58" s="238">
        <f t="shared" si="10"/>
        <v>2600</v>
      </c>
    </row>
    <row r="59" ht="15.75" spans="1:104">
      <c r="A59" s="239" t="s">
        <v>134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BA59" s="241"/>
      <c r="BB59" s="241"/>
      <c r="BC59" s="242"/>
      <c r="BD59" s="241"/>
      <c r="BE59" s="241"/>
      <c r="CX59" s="242"/>
      <c r="CY59" s="241"/>
      <c r="CZ59" s="241"/>
    </row>
    <row r="60" ht="18.75" customHeight="1" spans="1:104">
      <c r="A60" s="243" t="s">
        <v>135</v>
      </c>
      <c r="B60" s="244"/>
      <c r="C60" s="244"/>
      <c r="D60" s="244"/>
      <c r="E60" s="244"/>
      <c r="F60" s="244"/>
      <c r="G60" s="244"/>
      <c r="H60" s="244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6"/>
      <c r="V60" s="247"/>
      <c r="W60" s="247"/>
      <c r="X60" s="247"/>
      <c r="Y60" s="247"/>
      <c r="Z60" s="247"/>
      <c r="AA60" s="247"/>
      <c r="AB60" s="247"/>
      <c r="AC60" s="247"/>
      <c r="AD60" s="247"/>
      <c r="AE60" s="247"/>
      <c r="AF60" s="247"/>
      <c r="AG60" s="247"/>
      <c r="AH60" s="247"/>
      <c r="AI60" s="247"/>
      <c r="AJ60" s="247"/>
      <c r="AK60" s="247"/>
      <c r="AL60" s="247"/>
      <c r="AM60" s="247"/>
      <c r="AN60" s="247"/>
      <c r="AO60" s="247"/>
      <c r="BD60" s="241"/>
      <c r="BE60" s="248"/>
      <c r="CY60" s="241"/>
      <c r="CZ60" s="248"/>
    </row>
    <row r="61" ht="15.75" spans="1:104">
      <c r="A61" s="249"/>
      <c r="B61" s="250"/>
      <c r="C61" s="251"/>
      <c r="D61" s="251"/>
      <c r="E61" s="250"/>
      <c r="F61" s="251"/>
      <c r="G61" s="251"/>
      <c r="H61" s="250"/>
      <c r="I61" s="251"/>
      <c r="J61" s="251"/>
      <c r="K61" s="250"/>
      <c r="L61" s="251"/>
      <c r="M61" s="251"/>
      <c r="N61" s="250"/>
      <c r="O61" s="252"/>
      <c r="P61" s="252"/>
      <c r="Q61" s="240"/>
      <c r="R61" s="240"/>
      <c r="S61" s="240"/>
      <c r="T61" s="247"/>
      <c r="U61" s="253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40"/>
      <c r="AH61" s="240"/>
      <c r="AI61" s="240"/>
      <c r="AJ61" s="240"/>
      <c r="AK61" s="240"/>
      <c r="AL61" s="240"/>
      <c r="AM61" s="240"/>
      <c r="AN61" s="240"/>
      <c r="AO61" s="240"/>
      <c r="BD61" s="241"/>
      <c r="BE61" s="248"/>
      <c r="CH61" s="254"/>
      <c r="CI61" s="254"/>
      <c r="CY61" s="241"/>
      <c r="CZ61" s="248"/>
    </row>
    <row r="62" ht="15.75" spans="1:104">
      <c r="A62" s="249"/>
      <c r="B62" s="250"/>
      <c r="C62" s="251"/>
      <c r="D62" s="251"/>
      <c r="E62" s="250"/>
      <c r="F62" s="251"/>
      <c r="G62" s="251"/>
      <c r="H62" s="250"/>
      <c r="I62" s="251"/>
      <c r="J62" s="251"/>
      <c r="K62" s="250"/>
      <c r="L62" s="251"/>
      <c r="M62" s="251"/>
      <c r="N62" s="250"/>
      <c r="O62" s="252"/>
      <c r="P62" s="252"/>
      <c r="Q62" s="240"/>
      <c r="R62" s="240"/>
      <c r="S62" s="240"/>
      <c r="T62" s="247"/>
      <c r="U62" s="253"/>
      <c r="V62" s="240"/>
      <c r="W62" s="240"/>
      <c r="X62" s="240"/>
      <c r="Y62" s="240"/>
      <c r="Z62" s="240"/>
      <c r="AA62" s="240"/>
      <c r="AB62" s="240"/>
      <c r="AC62" s="240"/>
      <c r="AD62" s="240"/>
      <c r="AE62" s="240"/>
      <c r="AF62" s="240"/>
      <c r="AG62" s="240"/>
      <c r="AH62" s="240"/>
      <c r="AI62" s="240"/>
      <c r="AJ62" s="240"/>
      <c r="AK62" s="240"/>
      <c r="AL62" s="240"/>
      <c r="AM62" s="240"/>
      <c r="AN62" s="240"/>
      <c r="AO62" s="240"/>
      <c r="BD62" s="241"/>
      <c r="BE62" s="248"/>
      <c r="CH62" s="254"/>
      <c r="CI62" s="254"/>
      <c r="CJ62" s="254"/>
      <c r="CK62" s="254"/>
      <c r="CL62" s="254"/>
      <c r="CM62" s="254"/>
      <c r="CN62" s="254"/>
      <c r="CO62" s="254"/>
      <c r="CP62" s="254"/>
      <c r="CQ62" s="254"/>
      <c r="CR62" s="254"/>
      <c r="CS62" s="254"/>
      <c r="CY62" s="241"/>
      <c r="CZ62" s="248"/>
    </row>
    <row r="63" ht="16.5" spans="1:104">
      <c r="A63" s="255"/>
      <c r="B63" s="256"/>
      <c r="C63" s="257"/>
      <c r="D63" s="257"/>
      <c r="E63" s="256"/>
      <c r="F63" s="257"/>
      <c r="G63" s="257"/>
      <c r="H63" s="256"/>
      <c r="I63" s="257"/>
      <c r="J63" s="257"/>
      <c r="K63" s="256"/>
      <c r="L63" s="257"/>
      <c r="M63" s="257"/>
      <c r="N63" s="256"/>
      <c r="O63" s="258"/>
      <c r="P63" s="258"/>
      <c r="Q63" s="259"/>
      <c r="R63" s="259"/>
      <c r="S63" s="259"/>
      <c r="T63" s="260"/>
      <c r="U63" s="261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  <c r="AI63" s="240"/>
      <c r="AJ63" s="240"/>
      <c r="AK63" s="240"/>
      <c r="AL63" s="240"/>
      <c r="AM63" s="240"/>
      <c r="AN63" s="240"/>
      <c r="AO63" s="240"/>
      <c r="BD63" s="241"/>
      <c r="BE63" s="248"/>
      <c r="CH63" s="262"/>
      <c r="CI63" s="262"/>
      <c r="CY63" s="241"/>
      <c r="CZ63" s="248"/>
    </row>
    <row r="64" ht="16.5" spans="1:104">
      <c r="A64" s="251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52"/>
      <c r="P64" s="252"/>
      <c r="Q64" s="240"/>
      <c r="R64" s="240"/>
      <c r="S64" s="240"/>
      <c r="T64" s="247"/>
      <c r="U64" s="240"/>
      <c r="V64" s="240"/>
      <c r="W64" s="240"/>
      <c r="X64" s="240"/>
      <c r="Y64" s="240"/>
      <c r="Z64" s="240"/>
      <c r="AA64" s="240"/>
      <c r="AB64" s="240"/>
      <c r="AC64" s="240"/>
      <c r="AD64" s="240"/>
      <c r="AE64" s="240"/>
      <c r="AF64" s="240"/>
      <c r="AG64" s="240"/>
      <c r="AH64" s="240"/>
      <c r="AI64" s="240"/>
      <c r="AJ64" s="240"/>
      <c r="AK64" s="240"/>
      <c r="AL64" s="240"/>
      <c r="AM64" s="240"/>
      <c r="AN64" s="240"/>
      <c r="AO64" s="240"/>
      <c r="BD64" s="241"/>
      <c r="BE64" s="248"/>
      <c r="CH64" s="262"/>
      <c r="CI64" s="262"/>
      <c r="CY64" s="241"/>
      <c r="CZ64" s="248"/>
    </row>
    <row r="65" ht="15.75" spans="1:103">
      <c r="A65" s="264" t="s">
        <v>136</v>
      </c>
      <c r="B65" s="265"/>
      <c r="C65" s="265"/>
      <c r="D65" s="265"/>
      <c r="F65" s="266"/>
      <c r="Q65" s="264" t="s">
        <v>137</v>
      </c>
      <c r="T65" s="247"/>
    </row>
    <row r="66" ht="15.75" spans="1:103">
      <c r="A66" s="264"/>
      <c r="B66" s="265"/>
      <c r="C66" s="265"/>
      <c r="D66" s="265"/>
      <c r="F66" s="266"/>
      <c r="Q66" s="264"/>
      <c r="T66" s="247"/>
    </row>
    <row r="67" ht="15.75" spans="1:103">
      <c r="A67" s="264"/>
      <c r="B67" s="265"/>
      <c r="C67" s="265"/>
      <c r="D67" s="265"/>
      <c r="F67" s="266"/>
      <c r="Q67" s="264"/>
      <c r="T67" s="247"/>
    </row>
    <row r="68" ht="15.75" spans="1:103">
      <c r="A68" s="264"/>
      <c r="B68" s="265"/>
      <c r="C68" s="265"/>
      <c r="D68" s="265"/>
      <c r="F68" s="266"/>
      <c r="Q68" s="264"/>
      <c r="T68" s="247"/>
    </row>
    <row r="69" spans="1:103">
      <c r="C69" s="265"/>
      <c r="D69" s="265"/>
      <c r="F69" s="267"/>
      <c r="G69" s="267"/>
      <c r="H69" s="267"/>
      <c r="I69" s="266"/>
      <c r="J69" s="266"/>
      <c r="L69" s="266"/>
      <c r="T69" s="240"/>
    </row>
    <row r="70" ht="15.75" spans="1:103">
      <c r="A70" s="268" t="s">
        <v>138</v>
      </c>
      <c r="B70" s="269"/>
      <c r="F70" s="267"/>
      <c r="G70" s="267"/>
      <c r="H70" s="267"/>
      <c r="I70" s="266"/>
      <c r="J70" s="266"/>
      <c r="L70" s="266"/>
      <c r="N70" s="269"/>
      <c r="O70" s="269"/>
      <c r="Q70" s="270" t="s">
        <v>139</v>
      </c>
      <c r="S70" s="269"/>
    </row>
    <row r="71" spans="1:103">
      <c r="A71" s="269"/>
      <c r="B71" s="269"/>
      <c r="F71" s="267"/>
      <c r="G71" s="267"/>
      <c r="H71" s="267"/>
      <c r="I71" s="266"/>
      <c r="J71" s="266"/>
      <c r="L71" s="266"/>
      <c r="M71" s="269"/>
      <c r="N71" s="269"/>
      <c r="O71" s="269"/>
    </row>
    <row r="72" ht="180" spans="1:103">
      <c r="A72" s="271" t="s">
        <v>140</v>
      </c>
      <c r="B72" s="271" t="s">
        <v>141</v>
      </c>
      <c r="C72" s="272" t="s">
        <v>142</v>
      </c>
      <c r="D72" s="272" t="s">
        <v>143</v>
      </c>
      <c r="E72" s="272" t="s">
        <v>144</v>
      </c>
      <c r="F72" s="273" t="s">
        <v>145</v>
      </c>
      <c r="G72" s="273" t="s">
        <v>146</v>
      </c>
      <c r="H72" s="273" t="s">
        <v>147</v>
      </c>
      <c r="I72" s="274" t="s">
        <v>148</v>
      </c>
      <c r="J72" s="274" t="s">
        <v>149</v>
      </c>
      <c r="K72" s="272" t="s">
        <v>150</v>
      </c>
      <c r="L72" s="274" t="s">
        <v>151</v>
      </c>
      <c r="M72" s="271" t="s">
        <v>152</v>
      </c>
      <c r="N72" s="271" t="s">
        <v>153</v>
      </c>
      <c r="O72" s="271" t="s">
        <v>154</v>
      </c>
      <c r="P72" s="272" t="s">
        <v>155</v>
      </c>
      <c r="Q72" s="272" t="s">
        <v>156</v>
      </c>
      <c r="R72" s="272" t="s">
        <v>157</v>
      </c>
      <c r="S72" s="272" t="s">
        <v>158</v>
      </c>
      <c r="T72" s="272" t="s">
        <v>159</v>
      </c>
      <c r="U72" s="272" t="s">
        <v>160</v>
      </c>
      <c r="V72" s="272" t="s">
        <v>161</v>
      </c>
      <c r="W72" s="272" t="s">
        <v>162</v>
      </c>
      <c r="X72" s="272" t="s">
        <v>163</v>
      </c>
      <c r="Y72" s="272" t="s">
        <v>164</v>
      </c>
      <c r="Z72" s="272" t="s">
        <v>165</v>
      </c>
      <c r="AA72" s="272" t="s">
        <v>166</v>
      </c>
      <c r="AB72" s="272" t="s">
        <v>167</v>
      </c>
      <c r="AC72" s="272" t="s">
        <v>168</v>
      </c>
      <c r="AD72" s="272" t="s">
        <v>169</v>
      </c>
      <c r="AE72" s="272" t="s">
        <v>170</v>
      </c>
      <c r="AF72" s="272" t="s">
        <v>171</v>
      </c>
      <c r="AG72" s="272" t="s">
        <v>172</v>
      </c>
      <c r="AH72" s="272" t="s">
        <v>173</v>
      </c>
      <c r="AI72" s="272" t="s">
        <v>174</v>
      </c>
      <c r="AJ72" s="272" t="s">
        <v>175</v>
      </c>
      <c r="AK72" s="272" t="s">
        <v>176</v>
      </c>
      <c r="AL72" s="272" t="s">
        <v>177</v>
      </c>
      <c r="AM72" s="272" t="s">
        <v>178</v>
      </c>
      <c r="AN72" s="272" t="s">
        <v>179</v>
      </c>
      <c r="AO72" s="272" t="s">
        <v>180</v>
      </c>
      <c r="AP72" s="272" t="s">
        <v>181</v>
      </c>
      <c r="AQ72" s="272" t="s">
        <v>182</v>
      </c>
      <c r="AR72" s="272" t="s">
        <v>183</v>
      </c>
      <c r="AS72" s="272" t="s">
        <v>184</v>
      </c>
      <c r="AT72" s="272" t="s">
        <v>185</v>
      </c>
      <c r="AU72" s="272" t="s">
        <v>186</v>
      </c>
      <c r="AV72" s="272" t="s">
        <v>187</v>
      </c>
      <c r="AW72" s="272" t="s">
        <v>188</v>
      </c>
      <c r="AX72" s="272" t="s">
        <v>189</v>
      </c>
      <c r="AY72" s="272" t="s">
        <v>190</v>
      </c>
      <c r="AZ72" s="272" t="s">
        <v>191</v>
      </c>
      <c r="BA72" s="272" t="s">
        <v>192</v>
      </c>
      <c r="BB72" s="272" t="s">
        <v>193</v>
      </c>
      <c r="BC72" s="272" t="s">
        <v>194</v>
      </c>
      <c r="BD72" s="272" t="s">
        <v>195</v>
      </c>
      <c r="BE72" s="272" t="s">
        <v>196</v>
      </c>
      <c r="BF72" s="272" t="s">
        <v>197</v>
      </c>
      <c r="BG72" s="272" t="s">
        <v>198</v>
      </c>
      <c r="BH72" s="272" t="s">
        <v>199</v>
      </c>
      <c r="BI72" s="272" t="s">
        <v>200</v>
      </c>
      <c r="BJ72" s="272" t="s">
        <v>201</v>
      </c>
      <c r="BK72" s="272" t="s">
        <v>202</v>
      </c>
      <c r="BL72" s="272" t="s">
        <v>203</v>
      </c>
      <c r="BM72" s="272" t="s">
        <v>204</v>
      </c>
      <c r="BN72" s="272" t="s">
        <v>205</v>
      </c>
      <c r="BO72" s="272" t="s">
        <v>206</v>
      </c>
      <c r="BP72" s="272" t="s">
        <v>207</v>
      </c>
      <c r="BQ72" s="272" t="s">
        <v>208</v>
      </c>
      <c r="BR72" s="272" t="s">
        <v>209</v>
      </c>
      <c r="BS72" s="272" t="s">
        <v>210</v>
      </c>
      <c r="BT72" s="272" t="s">
        <v>211</v>
      </c>
      <c r="BU72" s="272" t="s">
        <v>212</v>
      </c>
      <c r="BV72" s="272" t="s">
        <v>213</v>
      </c>
      <c r="BW72" s="272" t="s">
        <v>214</v>
      </c>
      <c r="BX72" s="272" t="s">
        <v>215</v>
      </c>
      <c r="BY72" s="272" t="s">
        <v>216</v>
      </c>
      <c r="BZ72" s="272" t="s">
        <v>217</v>
      </c>
      <c r="CA72" s="272" t="s">
        <v>218</v>
      </c>
      <c r="CB72" s="272" t="s">
        <v>219</v>
      </c>
      <c r="CC72" s="272" t="s">
        <v>220</v>
      </c>
      <c r="CD72" s="272" t="s">
        <v>221</v>
      </c>
      <c r="CE72" s="272" t="s">
        <v>222</v>
      </c>
      <c r="CF72" s="272" t="s">
        <v>223</v>
      </c>
      <c r="CG72" s="272" t="s">
        <v>224</v>
      </c>
      <c r="CH72" s="272" t="s">
        <v>225</v>
      </c>
      <c r="CI72" s="272" t="s">
        <v>226</v>
      </c>
      <c r="CJ72" s="272" t="s">
        <v>227</v>
      </c>
      <c r="CK72" s="272" t="s">
        <v>228</v>
      </c>
      <c r="CL72" s="272" t="s">
        <v>229</v>
      </c>
      <c r="CM72" s="272" t="s">
        <v>230</v>
      </c>
      <c r="CN72" s="272" t="s">
        <v>231</v>
      </c>
      <c r="CO72" s="272" t="s">
        <v>232</v>
      </c>
      <c r="CP72" s="272" t="s">
        <v>233</v>
      </c>
      <c r="CQ72" s="272" t="s">
        <v>234</v>
      </c>
      <c r="CR72" s="272" t="s">
        <v>235</v>
      </c>
      <c r="CS72" s="272" t="s">
        <v>236</v>
      </c>
      <c r="CT72" s="272" t="s">
        <v>237</v>
      </c>
      <c r="CU72" s="272" t="s">
        <v>238</v>
      </c>
      <c r="CV72" s="272" t="s">
        <v>239</v>
      </c>
      <c r="CW72" s="272" t="s">
        <v>240</v>
      </c>
      <c r="CX72" s="272" t="s">
        <v>241</v>
      </c>
      <c r="CY72" s="272" t="s">
        <v>242</v>
      </c>
    </row>
    <row r="73" spans="1:103">
      <c r="A73" s="272" t="s">
        <v>80</v>
      </c>
      <c r="B73" s="272">
        <v>0</v>
      </c>
      <c r="C73" s="272">
        <v>0</v>
      </c>
      <c r="D73" s="272">
        <v>0</v>
      </c>
      <c r="E73" s="272">
        <v>0</v>
      </c>
      <c r="F73" s="272">
        <v>0</v>
      </c>
      <c r="G73" s="272">
        <v>0</v>
      </c>
      <c r="H73" s="272">
        <v>0</v>
      </c>
      <c r="I73" s="272">
        <v>0</v>
      </c>
      <c r="J73" s="272">
        <v>1</v>
      </c>
      <c r="K73" s="272">
        <v>0</v>
      </c>
      <c r="L73" s="272">
        <v>0</v>
      </c>
      <c r="M73" s="272">
        <v>0</v>
      </c>
      <c r="N73" s="272">
        <v>0</v>
      </c>
      <c r="O73" s="272">
        <v>0</v>
      </c>
      <c r="P73" s="272">
        <v>0</v>
      </c>
      <c r="Q73" s="272">
        <v>0</v>
      </c>
      <c r="R73" s="272">
        <v>0</v>
      </c>
      <c r="S73" s="272">
        <v>0</v>
      </c>
      <c r="T73" s="272">
        <v>0</v>
      </c>
      <c r="U73" s="272">
        <v>834</v>
      </c>
      <c r="V73" s="272">
        <v>245</v>
      </c>
      <c r="W73" s="272">
        <v>51</v>
      </c>
      <c r="X73" s="272">
        <v>3</v>
      </c>
      <c r="Y73" s="272">
        <v>0</v>
      </c>
      <c r="Z73" s="272">
        <v>0</v>
      </c>
      <c r="AA73" s="272">
        <v>19</v>
      </c>
      <c r="AB73" s="272">
        <v>7</v>
      </c>
      <c r="AC73" s="272">
        <v>4</v>
      </c>
      <c r="AD73" s="272">
        <v>0</v>
      </c>
      <c r="AE73" s="272">
        <v>0</v>
      </c>
      <c r="AF73" s="272">
        <v>0</v>
      </c>
      <c r="AG73" s="272">
        <v>0</v>
      </c>
      <c r="AH73" s="272">
        <v>0</v>
      </c>
      <c r="AI73" s="272">
        <v>0</v>
      </c>
      <c r="AJ73" s="272">
        <v>0</v>
      </c>
      <c r="AK73" s="272">
        <v>0</v>
      </c>
      <c r="AL73" s="272">
        <v>0</v>
      </c>
      <c r="AM73" s="272">
        <v>0</v>
      </c>
      <c r="AN73" s="272">
        <v>0</v>
      </c>
      <c r="AO73" s="272">
        <v>0</v>
      </c>
      <c r="AP73" s="272">
        <v>0</v>
      </c>
      <c r="AQ73" s="272">
        <v>0</v>
      </c>
      <c r="AR73" s="272">
        <v>0</v>
      </c>
      <c r="AS73" s="272">
        <v>0</v>
      </c>
      <c r="AT73" s="272">
        <v>0</v>
      </c>
      <c r="AU73" s="272">
        <v>0</v>
      </c>
      <c r="AV73" s="272">
        <v>0</v>
      </c>
      <c r="AW73" s="272">
        <v>0</v>
      </c>
      <c r="AX73" s="272">
        <v>0</v>
      </c>
      <c r="AY73" s="272">
        <v>0</v>
      </c>
      <c r="AZ73" s="272">
        <v>12</v>
      </c>
      <c r="BA73" s="272">
        <v>12</v>
      </c>
      <c r="BB73" s="272">
        <v>12</v>
      </c>
      <c r="BC73" s="272">
        <v>57</v>
      </c>
      <c r="BD73" s="272">
        <v>45</v>
      </c>
      <c r="BE73" s="272">
        <v>45</v>
      </c>
      <c r="BF73" s="272">
        <v>4</v>
      </c>
      <c r="BG73" s="272">
        <v>0</v>
      </c>
      <c r="BH73" s="272"/>
      <c r="BI73" s="272"/>
      <c r="BJ73" s="272"/>
      <c r="BK73" s="272"/>
      <c r="BL73" s="272"/>
      <c r="BM73" s="272"/>
      <c r="BN73" s="272"/>
      <c r="BO73" s="272"/>
      <c r="BP73" s="272"/>
      <c r="BQ73" s="272"/>
      <c r="BR73" s="272"/>
      <c r="BS73" s="272"/>
      <c r="BT73" s="272"/>
      <c r="BU73" s="272"/>
      <c r="BV73" s="272"/>
      <c r="BW73" s="272"/>
      <c r="BX73" s="272"/>
      <c r="BY73" s="272"/>
      <c r="BZ73" s="272"/>
      <c r="CA73" s="272"/>
      <c r="CB73" s="272"/>
      <c r="CC73" s="272"/>
      <c r="CD73" s="272"/>
      <c r="CE73" s="272"/>
      <c r="CF73" s="272"/>
      <c r="CG73" s="272"/>
      <c r="CH73" s="272"/>
      <c r="CI73" s="272">
        <f>AA73</f>
        <v>19</v>
      </c>
      <c r="CJ73" s="272">
        <f>CI73</f>
        <v>19</v>
      </c>
      <c r="CK73" s="272">
        <f>CJ73-CL73</f>
        <v>12</v>
      </c>
      <c r="CL73" s="272">
        <f>AB73</f>
        <v>7</v>
      </c>
      <c r="CM73" s="272">
        <f>D73</f>
        <v>0</v>
      </c>
      <c r="CN73" s="272">
        <f>CM73</f>
        <v>0</v>
      </c>
      <c r="CO73" s="272">
        <f>L73</f>
        <v>0</v>
      </c>
      <c r="CP73" s="272">
        <f>CO73</f>
        <v>0</v>
      </c>
      <c r="CQ73" s="272">
        <f>CP73</f>
        <v>0</v>
      </c>
      <c r="CR73" s="272">
        <f>J73</f>
        <v>1</v>
      </c>
      <c r="CS73" s="272">
        <f>CR73</f>
        <v>1</v>
      </c>
      <c r="CT73" s="272">
        <v>33</v>
      </c>
      <c r="CU73" s="272">
        <v>26</v>
      </c>
      <c r="CV73" s="272">
        <v>26</v>
      </c>
      <c r="CW73" s="272">
        <v>102</v>
      </c>
      <c r="CX73" s="272">
        <v>83</v>
      </c>
      <c r="CY73" s="275">
        <v>75</v>
      </c>
    </row>
    <row r="74" spans="1:103">
      <c r="A74" s="272" t="s">
        <v>81</v>
      </c>
      <c r="B74" s="272">
        <v>0</v>
      </c>
      <c r="C74" s="272">
        <v>0</v>
      </c>
      <c r="D74" s="272">
        <v>0</v>
      </c>
      <c r="E74" s="272">
        <v>0</v>
      </c>
      <c r="F74" s="272">
        <v>0</v>
      </c>
      <c r="G74" s="272">
        <v>0</v>
      </c>
      <c r="H74" s="272">
        <v>0</v>
      </c>
      <c r="I74" s="272">
        <v>0</v>
      </c>
      <c r="J74" s="272">
        <v>0</v>
      </c>
      <c r="K74" s="272">
        <v>0</v>
      </c>
      <c r="L74" s="272">
        <v>0</v>
      </c>
      <c r="M74" s="272">
        <v>0</v>
      </c>
      <c r="N74" s="272">
        <v>0</v>
      </c>
      <c r="O74" s="272">
        <v>0</v>
      </c>
      <c r="P74" s="272">
        <v>0</v>
      </c>
      <c r="Q74" s="272">
        <v>0</v>
      </c>
      <c r="R74" s="272">
        <v>0</v>
      </c>
      <c r="S74" s="272">
        <v>0</v>
      </c>
      <c r="T74" s="272">
        <v>0</v>
      </c>
      <c r="U74" s="272">
        <v>883</v>
      </c>
      <c r="V74" s="272">
        <v>206</v>
      </c>
      <c r="W74" s="272">
        <v>47</v>
      </c>
      <c r="X74" s="272">
        <v>2</v>
      </c>
      <c r="Y74" s="272">
        <v>0</v>
      </c>
      <c r="Z74" s="272">
        <v>0</v>
      </c>
      <c r="AA74" s="272">
        <v>27</v>
      </c>
      <c r="AB74" s="272">
        <v>9</v>
      </c>
      <c r="AC74" s="272">
        <v>5</v>
      </c>
      <c r="AD74" s="272">
        <v>0</v>
      </c>
      <c r="AE74" s="272">
        <v>0</v>
      </c>
      <c r="AF74" s="272">
        <v>0</v>
      </c>
      <c r="AG74" s="272">
        <v>0</v>
      </c>
      <c r="AH74" s="272">
        <v>0</v>
      </c>
      <c r="AI74" s="272">
        <v>0</v>
      </c>
      <c r="AJ74" s="272">
        <v>0</v>
      </c>
      <c r="AK74" s="272">
        <v>0</v>
      </c>
      <c r="AL74" s="272">
        <v>0</v>
      </c>
      <c r="AM74" s="272">
        <v>0</v>
      </c>
      <c r="AN74" s="272">
        <v>0</v>
      </c>
      <c r="AO74" s="272">
        <v>0</v>
      </c>
      <c r="AP74" s="272">
        <v>0</v>
      </c>
      <c r="AQ74" s="272">
        <v>0</v>
      </c>
      <c r="AR74" s="272">
        <v>0</v>
      </c>
      <c r="AS74" s="272">
        <v>0</v>
      </c>
      <c r="AT74" s="272">
        <v>0</v>
      </c>
      <c r="AU74" s="272">
        <v>0</v>
      </c>
      <c r="AV74" s="272">
        <v>0</v>
      </c>
      <c r="AW74" s="272">
        <v>0</v>
      </c>
      <c r="AX74" s="272">
        <v>0</v>
      </c>
      <c r="AY74" s="272">
        <v>0</v>
      </c>
      <c r="AZ74" s="272">
        <v>12</v>
      </c>
      <c r="BA74" s="272">
        <v>12</v>
      </c>
      <c r="BB74" s="272">
        <v>12</v>
      </c>
      <c r="BC74" s="272">
        <v>57</v>
      </c>
      <c r="BD74" s="272">
        <v>45</v>
      </c>
      <c r="BE74" s="272">
        <v>45</v>
      </c>
      <c r="BF74" s="272">
        <v>5</v>
      </c>
      <c r="BG74" s="272">
        <v>0</v>
      </c>
      <c r="BH74" s="272"/>
      <c r="BI74" s="272"/>
      <c r="BJ74" s="272"/>
      <c r="BK74" s="272"/>
      <c r="BL74" s="272"/>
      <c r="BM74" s="272"/>
      <c r="BN74" s="272"/>
      <c r="BO74" s="272"/>
      <c r="BP74" s="272"/>
      <c r="BQ74" s="272"/>
      <c r="BR74" s="272"/>
      <c r="BS74" s="272"/>
      <c r="BT74" s="272"/>
      <c r="BU74" s="272"/>
      <c r="BV74" s="272"/>
      <c r="BW74" s="272"/>
      <c r="BX74" s="272"/>
      <c r="BY74" s="272"/>
      <c r="BZ74" s="272"/>
      <c r="CA74" s="272"/>
      <c r="CB74" s="272"/>
      <c r="CC74" s="272"/>
      <c r="CD74" s="272"/>
      <c r="CE74" s="272"/>
      <c r="CF74" s="272"/>
      <c r="CG74" s="272"/>
      <c r="CH74" s="272"/>
      <c r="CI74" s="272">
        <f t="shared" ref="CI74:CI122" si="11">AA74</f>
        <v>27</v>
      </c>
      <c r="CJ74" s="272">
        <f t="shared" ref="CJ74:CJ122" si="12">CI74</f>
        <v>27</v>
      </c>
      <c r="CK74" s="272">
        <f t="shared" ref="CK74:CK122" si="13">CJ74-CL74</f>
        <v>18</v>
      </c>
      <c r="CL74" s="272">
        <f t="shared" ref="CL74:CL122" si="14">AB74</f>
        <v>9</v>
      </c>
      <c r="CM74" s="272">
        <f t="shared" ref="CM74:CM122" si="15">D74</f>
        <v>0</v>
      </c>
      <c r="CN74" s="272">
        <f t="shared" ref="CN74:CN122" si="16">CM74</f>
        <v>0</v>
      </c>
      <c r="CO74" s="272">
        <f t="shared" ref="CO74:CO122" si="17">L74</f>
        <v>0</v>
      </c>
      <c r="CP74" s="272">
        <f t="shared" ref="CP74:CP122" si="18">CO74</f>
        <v>0</v>
      </c>
      <c r="CQ74" s="272">
        <v>0</v>
      </c>
      <c r="CR74" s="272">
        <f t="shared" ref="CR74:CR122" si="19">J74</f>
        <v>0</v>
      </c>
      <c r="CS74" s="272">
        <f t="shared" ref="CS74:CS122" si="20">CR74</f>
        <v>0</v>
      </c>
      <c r="CT74" s="272">
        <v>33</v>
      </c>
      <c r="CU74" s="272">
        <v>27</v>
      </c>
      <c r="CV74" s="272">
        <v>27</v>
      </c>
      <c r="CW74" s="272">
        <v>102</v>
      </c>
      <c r="CX74" s="272">
        <v>84</v>
      </c>
      <c r="CY74" s="275">
        <v>76</v>
      </c>
    </row>
    <row r="75" spans="1:103">
      <c r="A75" s="272" t="s">
        <v>82</v>
      </c>
      <c r="B75" s="272">
        <v>0</v>
      </c>
      <c r="C75" s="272">
        <v>0</v>
      </c>
      <c r="D75" s="272">
        <v>0</v>
      </c>
      <c r="E75" s="272">
        <v>0</v>
      </c>
      <c r="F75" s="272">
        <v>0</v>
      </c>
      <c r="G75" s="272">
        <v>0</v>
      </c>
      <c r="H75" s="272">
        <v>0</v>
      </c>
      <c r="I75" s="272">
        <v>0</v>
      </c>
      <c r="J75" s="272">
        <v>0</v>
      </c>
      <c r="K75" s="272">
        <v>0</v>
      </c>
      <c r="L75" s="272">
        <v>0</v>
      </c>
      <c r="M75" s="272">
        <v>0</v>
      </c>
      <c r="N75" s="272">
        <v>0</v>
      </c>
      <c r="O75" s="272">
        <v>0</v>
      </c>
      <c r="P75" s="272">
        <v>0</v>
      </c>
      <c r="Q75" s="272">
        <v>0</v>
      </c>
      <c r="R75" s="272">
        <v>0</v>
      </c>
      <c r="S75" s="272">
        <v>0</v>
      </c>
      <c r="T75" s="272">
        <v>0</v>
      </c>
      <c r="U75" s="272">
        <v>972</v>
      </c>
      <c r="V75" s="272">
        <v>263</v>
      </c>
      <c r="W75" s="272">
        <v>55</v>
      </c>
      <c r="X75" s="272">
        <v>6</v>
      </c>
      <c r="Y75" s="272">
        <v>0</v>
      </c>
      <c r="Z75" s="272">
        <v>0</v>
      </c>
      <c r="AA75" s="272">
        <v>30</v>
      </c>
      <c r="AB75" s="272">
        <v>18</v>
      </c>
      <c r="AC75" s="272">
        <v>6</v>
      </c>
      <c r="AD75" s="272">
        <v>0</v>
      </c>
      <c r="AE75" s="272">
        <v>0</v>
      </c>
      <c r="AF75" s="272">
        <v>0</v>
      </c>
      <c r="AG75" s="272">
        <v>0</v>
      </c>
      <c r="AH75" s="272">
        <v>0</v>
      </c>
      <c r="AI75" s="272">
        <v>0</v>
      </c>
      <c r="AJ75" s="272">
        <v>0</v>
      </c>
      <c r="AK75" s="272">
        <v>0</v>
      </c>
      <c r="AL75" s="272">
        <v>0</v>
      </c>
      <c r="AM75" s="272">
        <v>0</v>
      </c>
      <c r="AN75" s="272">
        <v>0</v>
      </c>
      <c r="AO75" s="272">
        <v>0</v>
      </c>
      <c r="AP75" s="272">
        <v>0</v>
      </c>
      <c r="AQ75" s="272">
        <v>0</v>
      </c>
      <c r="AR75" s="272">
        <v>0</v>
      </c>
      <c r="AS75" s="272">
        <v>0</v>
      </c>
      <c r="AT75" s="272">
        <v>0</v>
      </c>
      <c r="AU75" s="272">
        <v>0</v>
      </c>
      <c r="AV75" s="272">
        <v>0</v>
      </c>
      <c r="AW75" s="272">
        <v>0</v>
      </c>
      <c r="AX75" s="272">
        <v>0</v>
      </c>
      <c r="AY75" s="272">
        <v>0</v>
      </c>
      <c r="AZ75" s="272">
        <v>12</v>
      </c>
      <c r="BA75" s="272">
        <v>12</v>
      </c>
      <c r="BB75" s="272">
        <v>12</v>
      </c>
      <c r="BC75" s="272">
        <v>57</v>
      </c>
      <c r="BD75" s="272">
        <v>44</v>
      </c>
      <c r="BE75" s="272">
        <v>44</v>
      </c>
      <c r="BF75" s="272">
        <v>8</v>
      </c>
      <c r="BG75" s="272">
        <v>0</v>
      </c>
      <c r="BH75" s="272"/>
      <c r="BI75" s="272"/>
      <c r="BJ75" s="272"/>
      <c r="BK75" s="272"/>
      <c r="BL75" s="272"/>
      <c r="BM75" s="272"/>
      <c r="BN75" s="272"/>
      <c r="BO75" s="272"/>
      <c r="BP75" s="272"/>
      <c r="BQ75" s="272"/>
      <c r="BR75" s="272"/>
      <c r="BS75" s="272"/>
      <c r="BT75" s="272"/>
      <c r="BU75" s="272"/>
      <c r="BV75" s="272"/>
      <c r="BW75" s="272"/>
      <c r="BX75" s="272"/>
      <c r="BY75" s="272"/>
      <c r="BZ75" s="272"/>
      <c r="CA75" s="272"/>
      <c r="CB75" s="272"/>
      <c r="CC75" s="272"/>
      <c r="CD75" s="272"/>
      <c r="CE75" s="272"/>
      <c r="CF75" s="272"/>
      <c r="CG75" s="272"/>
      <c r="CH75" s="272"/>
      <c r="CI75" s="272">
        <f t="shared" si="11"/>
        <v>30</v>
      </c>
      <c r="CJ75" s="272">
        <f t="shared" si="12"/>
        <v>30</v>
      </c>
      <c r="CK75" s="272">
        <f t="shared" si="13"/>
        <v>12</v>
      </c>
      <c r="CL75" s="272">
        <f t="shared" si="14"/>
        <v>18</v>
      </c>
      <c r="CM75" s="272">
        <f t="shared" si="15"/>
        <v>0</v>
      </c>
      <c r="CN75" s="272">
        <f t="shared" si="16"/>
        <v>0</v>
      </c>
      <c r="CO75" s="272">
        <f t="shared" si="17"/>
        <v>0</v>
      </c>
      <c r="CP75" s="272">
        <f t="shared" si="18"/>
        <v>0</v>
      </c>
      <c r="CQ75" s="272">
        <v>0</v>
      </c>
      <c r="CR75" s="272">
        <f t="shared" si="19"/>
        <v>0</v>
      </c>
      <c r="CS75" s="272">
        <f t="shared" si="20"/>
        <v>0</v>
      </c>
      <c r="CT75" s="272">
        <v>33</v>
      </c>
      <c r="CU75" s="272">
        <v>28</v>
      </c>
      <c r="CV75" s="272">
        <v>28</v>
      </c>
      <c r="CW75" s="272">
        <v>102</v>
      </c>
      <c r="CX75" s="272">
        <v>84</v>
      </c>
      <c r="CY75" s="272">
        <v>76</v>
      </c>
    </row>
    <row r="76" spans="1:103">
      <c r="A76" s="272" t="s">
        <v>83</v>
      </c>
      <c r="B76" s="272">
        <v>0</v>
      </c>
      <c r="C76" s="272">
        <v>0</v>
      </c>
      <c r="D76" s="272">
        <v>0</v>
      </c>
      <c r="E76" s="272">
        <v>0</v>
      </c>
      <c r="F76" s="272">
        <v>0</v>
      </c>
      <c r="G76" s="272">
        <v>0</v>
      </c>
      <c r="H76" s="272">
        <v>0</v>
      </c>
      <c r="I76" s="272">
        <v>0</v>
      </c>
      <c r="J76" s="272">
        <v>0</v>
      </c>
      <c r="K76" s="272">
        <v>0</v>
      </c>
      <c r="L76" s="272">
        <v>0</v>
      </c>
      <c r="M76" s="272">
        <v>0</v>
      </c>
      <c r="N76" s="272">
        <v>0</v>
      </c>
      <c r="O76" s="272">
        <v>0</v>
      </c>
      <c r="P76" s="272">
        <v>0</v>
      </c>
      <c r="Q76" s="272">
        <v>0</v>
      </c>
      <c r="R76" s="272">
        <v>5</v>
      </c>
      <c r="S76" s="272">
        <v>0</v>
      </c>
      <c r="T76" s="272">
        <v>0</v>
      </c>
      <c r="U76" s="272">
        <v>945</v>
      </c>
      <c r="V76" s="272">
        <v>229</v>
      </c>
      <c r="W76" s="272">
        <v>32</v>
      </c>
      <c r="X76" s="272">
        <v>3</v>
      </c>
      <c r="Y76" s="272">
        <v>0</v>
      </c>
      <c r="Z76" s="272">
        <v>0</v>
      </c>
      <c r="AA76" s="272">
        <v>48</v>
      </c>
      <c r="AB76" s="272">
        <v>17</v>
      </c>
      <c r="AC76" s="272">
        <v>3</v>
      </c>
      <c r="AD76" s="272">
        <v>0</v>
      </c>
      <c r="AE76" s="272">
        <v>0</v>
      </c>
      <c r="AF76" s="272">
        <v>0</v>
      </c>
      <c r="AG76" s="272">
        <v>0</v>
      </c>
      <c r="AH76" s="272">
        <v>0</v>
      </c>
      <c r="AI76" s="272">
        <v>0</v>
      </c>
      <c r="AJ76" s="272">
        <v>0</v>
      </c>
      <c r="AK76" s="272">
        <v>0</v>
      </c>
      <c r="AL76" s="272">
        <v>0</v>
      </c>
      <c r="AM76" s="272">
        <v>0</v>
      </c>
      <c r="AN76" s="272">
        <v>0</v>
      </c>
      <c r="AO76" s="272">
        <v>0</v>
      </c>
      <c r="AP76" s="272">
        <v>0</v>
      </c>
      <c r="AQ76" s="272">
        <v>0</v>
      </c>
      <c r="AR76" s="272">
        <v>0</v>
      </c>
      <c r="AS76" s="272">
        <v>0</v>
      </c>
      <c r="AT76" s="272">
        <v>0</v>
      </c>
      <c r="AU76" s="272">
        <v>0</v>
      </c>
      <c r="AV76" s="272">
        <v>0</v>
      </c>
      <c r="AW76" s="272">
        <v>0</v>
      </c>
      <c r="AX76" s="272">
        <v>0</v>
      </c>
      <c r="AY76" s="272">
        <v>0</v>
      </c>
      <c r="AZ76" s="272">
        <v>12</v>
      </c>
      <c r="BA76" s="272">
        <v>12</v>
      </c>
      <c r="BB76" s="272">
        <v>12</v>
      </c>
      <c r="BC76" s="272">
        <v>57</v>
      </c>
      <c r="BD76" s="272">
        <v>46</v>
      </c>
      <c r="BE76" s="272">
        <v>46</v>
      </c>
      <c r="BF76" s="272">
        <v>10</v>
      </c>
      <c r="BG76" s="272">
        <v>0</v>
      </c>
      <c r="BH76" s="272"/>
      <c r="BI76" s="272"/>
      <c r="BJ76" s="272"/>
      <c r="BK76" s="272"/>
      <c r="BL76" s="272"/>
      <c r="BM76" s="272"/>
      <c r="BN76" s="272"/>
      <c r="BO76" s="272"/>
      <c r="BP76" s="272"/>
      <c r="BQ76" s="272"/>
      <c r="BR76" s="272"/>
      <c r="BS76" s="272"/>
      <c r="BT76" s="272"/>
      <c r="BU76" s="272"/>
      <c r="BV76" s="272"/>
      <c r="BW76" s="272"/>
      <c r="BX76" s="272"/>
      <c r="BY76" s="272"/>
      <c r="BZ76" s="272"/>
      <c r="CA76" s="272"/>
      <c r="CB76" s="272"/>
      <c r="CC76" s="272"/>
      <c r="CD76" s="272"/>
      <c r="CE76" s="272"/>
      <c r="CF76" s="272"/>
      <c r="CG76" s="272"/>
      <c r="CH76" s="272"/>
      <c r="CI76" s="272">
        <f t="shared" si="11"/>
        <v>48</v>
      </c>
      <c r="CJ76" s="272">
        <f t="shared" si="12"/>
        <v>48</v>
      </c>
      <c r="CK76" s="272">
        <f t="shared" si="13"/>
        <v>31</v>
      </c>
      <c r="CL76" s="272">
        <f t="shared" si="14"/>
        <v>17</v>
      </c>
      <c r="CM76" s="272">
        <f t="shared" si="15"/>
        <v>0</v>
      </c>
      <c r="CN76" s="272">
        <f t="shared" si="16"/>
        <v>0</v>
      </c>
      <c r="CO76" s="272">
        <f t="shared" si="17"/>
        <v>0</v>
      </c>
      <c r="CP76" s="272">
        <f t="shared" si="18"/>
        <v>0</v>
      </c>
      <c r="CQ76" s="272">
        <v>0</v>
      </c>
      <c r="CR76" s="272">
        <f t="shared" si="19"/>
        <v>0</v>
      </c>
      <c r="CS76" s="272">
        <f t="shared" si="20"/>
        <v>0</v>
      </c>
      <c r="CT76" s="272">
        <v>33</v>
      </c>
      <c r="CU76" s="272">
        <v>29</v>
      </c>
      <c r="CV76" s="272">
        <v>29</v>
      </c>
      <c r="CW76" s="272">
        <v>102</v>
      </c>
      <c r="CX76" s="272">
        <v>88</v>
      </c>
      <c r="CY76" s="272">
        <v>80</v>
      </c>
    </row>
    <row r="77" spans="1:103">
      <c r="A77" s="272" t="s">
        <v>84</v>
      </c>
      <c r="B77" s="272">
        <v>0</v>
      </c>
      <c r="C77" s="272">
        <v>0</v>
      </c>
      <c r="D77" s="272">
        <v>0</v>
      </c>
      <c r="E77" s="272">
        <v>0</v>
      </c>
      <c r="F77" s="272">
        <v>0</v>
      </c>
      <c r="G77" s="272">
        <v>0</v>
      </c>
      <c r="H77" s="272">
        <v>0</v>
      </c>
      <c r="I77" s="272">
        <v>0</v>
      </c>
      <c r="J77" s="272">
        <v>0</v>
      </c>
      <c r="K77" s="272">
        <v>0</v>
      </c>
      <c r="L77" s="272">
        <v>0</v>
      </c>
      <c r="M77" s="272">
        <v>0</v>
      </c>
      <c r="N77" s="272">
        <v>0</v>
      </c>
      <c r="O77" s="272">
        <v>0</v>
      </c>
      <c r="P77" s="272">
        <v>0</v>
      </c>
      <c r="Q77" s="272">
        <v>0</v>
      </c>
      <c r="R77" s="272">
        <v>0</v>
      </c>
      <c r="S77" s="272">
        <v>0</v>
      </c>
      <c r="T77" s="272">
        <v>0</v>
      </c>
      <c r="U77" s="272">
        <v>975</v>
      </c>
      <c r="V77" s="272">
        <v>225</v>
      </c>
      <c r="W77" s="272">
        <v>46</v>
      </c>
      <c r="X77" s="272">
        <v>3</v>
      </c>
      <c r="Y77" s="272">
        <v>0</v>
      </c>
      <c r="Z77" s="272">
        <v>0</v>
      </c>
      <c r="AA77" s="272">
        <v>26</v>
      </c>
      <c r="AB77" s="272">
        <v>9</v>
      </c>
      <c r="AC77" s="272">
        <v>1</v>
      </c>
      <c r="AD77" s="272">
        <v>0</v>
      </c>
      <c r="AE77" s="272">
        <v>0</v>
      </c>
      <c r="AF77" s="272">
        <v>0</v>
      </c>
      <c r="AG77" s="272">
        <v>0</v>
      </c>
      <c r="AH77" s="272">
        <v>0</v>
      </c>
      <c r="AI77" s="272">
        <v>0</v>
      </c>
      <c r="AJ77" s="272">
        <v>0</v>
      </c>
      <c r="AK77" s="272">
        <v>0</v>
      </c>
      <c r="AL77" s="272">
        <v>0</v>
      </c>
      <c r="AM77" s="272">
        <v>0</v>
      </c>
      <c r="AN77" s="272">
        <v>0</v>
      </c>
      <c r="AO77" s="272">
        <v>0</v>
      </c>
      <c r="AP77" s="272">
        <v>0</v>
      </c>
      <c r="AQ77" s="272">
        <v>0</v>
      </c>
      <c r="AR77" s="272">
        <v>0</v>
      </c>
      <c r="AS77" s="272">
        <v>0</v>
      </c>
      <c r="AT77" s="272">
        <v>0</v>
      </c>
      <c r="AU77" s="272">
        <v>0</v>
      </c>
      <c r="AV77" s="272">
        <v>0</v>
      </c>
      <c r="AW77" s="272">
        <v>0</v>
      </c>
      <c r="AX77" s="272">
        <v>0</v>
      </c>
      <c r="AY77" s="272">
        <v>0</v>
      </c>
      <c r="AZ77" s="272">
        <v>12</v>
      </c>
      <c r="BA77" s="272">
        <v>12</v>
      </c>
      <c r="BB77" s="272">
        <v>12</v>
      </c>
      <c r="BC77" s="272">
        <v>57</v>
      </c>
      <c r="BD77" s="272">
        <v>51</v>
      </c>
      <c r="BE77" s="272">
        <v>51</v>
      </c>
      <c r="BF77" s="272">
        <v>3</v>
      </c>
      <c r="BG77" s="272">
        <v>0</v>
      </c>
      <c r="BH77" s="272"/>
      <c r="BI77" s="272"/>
      <c r="BJ77" s="272"/>
      <c r="BK77" s="272"/>
      <c r="BL77" s="272"/>
      <c r="BM77" s="272"/>
      <c r="BN77" s="272"/>
      <c r="BO77" s="272"/>
      <c r="BP77" s="272"/>
      <c r="BQ77" s="272"/>
      <c r="BR77" s="272"/>
      <c r="BS77" s="272"/>
      <c r="BT77" s="272"/>
      <c r="BU77" s="272"/>
      <c r="BV77" s="272"/>
      <c r="BW77" s="272"/>
      <c r="BX77" s="272"/>
      <c r="BY77" s="272"/>
      <c r="BZ77" s="272"/>
      <c r="CA77" s="272"/>
      <c r="CB77" s="272"/>
      <c r="CC77" s="272"/>
      <c r="CD77" s="272"/>
      <c r="CE77" s="272"/>
      <c r="CF77" s="272"/>
      <c r="CG77" s="272"/>
      <c r="CH77" s="272"/>
      <c r="CI77" s="272">
        <f t="shared" si="11"/>
        <v>26</v>
      </c>
      <c r="CJ77" s="272">
        <f t="shared" si="12"/>
        <v>26</v>
      </c>
      <c r="CK77" s="272">
        <f t="shared" si="13"/>
        <v>17</v>
      </c>
      <c r="CL77" s="272">
        <f t="shared" si="14"/>
        <v>9</v>
      </c>
      <c r="CM77" s="272">
        <f t="shared" si="15"/>
        <v>0</v>
      </c>
      <c r="CN77" s="272">
        <f t="shared" si="16"/>
        <v>0</v>
      </c>
      <c r="CO77" s="272">
        <f t="shared" si="17"/>
        <v>0</v>
      </c>
      <c r="CP77" s="272">
        <f t="shared" si="18"/>
        <v>0</v>
      </c>
      <c r="CQ77" s="272">
        <v>0</v>
      </c>
      <c r="CR77" s="272">
        <f t="shared" si="19"/>
        <v>0</v>
      </c>
      <c r="CS77" s="272">
        <f t="shared" si="20"/>
        <v>0</v>
      </c>
      <c r="CT77" s="272">
        <v>33</v>
      </c>
      <c r="CU77" s="272">
        <v>28</v>
      </c>
      <c r="CV77" s="272">
        <v>28</v>
      </c>
      <c r="CW77" s="272">
        <v>102</v>
      </c>
      <c r="CX77" s="272">
        <v>92</v>
      </c>
      <c r="CY77" s="272">
        <v>84</v>
      </c>
    </row>
    <row r="78" spans="1:103">
      <c r="A78" s="272" t="s">
        <v>85</v>
      </c>
      <c r="B78" s="272">
        <v>0</v>
      </c>
      <c r="C78" s="272">
        <v>0</v>
      </c>
      <c r="D78" s="272">
        <v>0</v>
      </c>
      <c r="E78" s="272">
        <v>0</v>
      </c>
      <c r="F78" s="272">
        <v>0</v>
      </c>
      <c r="G78" s="272">
        <v>0</v>
      </c>
      <c r="H78" s="272">
        <v>0</v>
      </c>
      <c r="I78" s="272">
        <v>0</v>
      </c>
      <c r="J78" s="272">
        <v>0</v>
      </c>
      <c r="K78" s="272">
        <v>0</v>
      </c>
      <c r="L78" s="272">
        <v>0</v>
      </c>
      <c r="M78" s="272">
        <v>0</v>
      </c>
      <c r="N78" s="272">
        <v>0</v>
      </c>
      <c r="O78" s="272">
        <v>0</v>
      </c>
      <c r="P78" s="272">
        <v>0</v>
      </c>
      <c r="Q78" s="272">
        <v>0</v>
      </c>
      <c r="R78" s="272">
        <v>0</v>
      </c>
      <c r="S78" s="272">
        <v>0</v>
      </c>
      <c r="T78" s="272">
        <v>0</v>
      </c>
      <c r="U78" s="272">
        <v>907</v>
      </c>
      <c r="V78" s="272">
        <v>187</v>
      </c>
      <c r="W78" s="272">
        <v>41</v>
      </c>
      <c r="X78" s="272">
        <v>4</v>
      </c>
      <c r="Y78" s="272">
        <v>0</v>
      </c>
      <c r="Z78" s="272">
        <v>0</v>
      </c>
      <c r="AA78" s="272">
        <v>19</v>
      </c>
      <c r="AB78" s="272">
        <v>10</v>
      </c>
      <c r="AC78" s="272">
        <v>4</v>
      </c>
      <c r="AD78" s="272">
        <v>0</v>
      </c>
      <c r="AE78" s="272">
        <v>0</v>
      </c>
      <c r="AF78" s="272">
        <v>0</v>
      </c>
      <c r="AG78" s="272">
        <v>0</v>
      </c>
      <c r="AH78" s="272">
        <v>0</v>
      </c>
      <c r="AI78" s="272">
        <v>0</v>
      </c>
      <c r="AJ78" s="272">
        <v>0</v>
      </c>
      <c r="AK78" s="272">
        <v>0</v>
      </c>
      <c r="AL78" s="272">
        <v>0</v>
      </c>
      <c r="AM78" s="272">
        <v>0</v>
      </c>
      <c r="AN78" s="272">
        <v>0</v>
      </c>
      <c r="AO78" s="272">
        <v>0</v>
      </c>
      <c r="AP78" s="272">
        <v>0</v>
      </c>
      <c r="AQ78" s="272">
        <v>0</v>
      </c>
      <c r="AR78" s="272">
        <v>0</v>
      </c>
      <c r="AS78" s="272">
        <v>0</v>
      </c>
      <c r="AT78" s="272">
        <v>0</v>
      </c>
      <c r="AU78" s="272">
        <v>0</v>
      </c>
      <c r="AV78" s="272">
        <v>0</v>
      </c>
      <c r="AW78" s="272">
        <v>0</v>
      </c>
      <c r="AX78" s="272">
        <v>0</v>
      </c>
      <c r="AY78" s="272">
        <v>0</v>
      </c>
      <c r="AZ78" s="272">
        <v>12</v>
      </c>
      <c r="BA78" s="272">
        <v>12</v>
      </c>
      <c r="BB78" s="272">
        <v>12</v>
      </c>
      <c r="BC78" s="272">
        <v>58</v>
      </c>
      <c r="BD78" s="272">
        <v>50</v>
      </c>
      <c r="BE78" s="272">
        <v>50</v>
      </c>
      <c r="BF78" s="272">
        <v>9</v>
      </c>
      <c r="BG78" s="272">
        <v>0</v>
      </c>
      <c r="BH78" s="272"/>
      <c r="BI78" s="272"/>
      <c r="BJ78" s="272"/>
      <c r="BK78" s="272"/>
      <c r="BL78" s="272"/>
      <c r="BM78" s="272"/>
      <c r="BN78" s="272"/>
      <c r="BO78" s="272"/>
      <c r="BP78" s="272"/>
      <c r="BQ78" s="272"/>
      <c r="BR78" s="272"/>
      <c r="BS78" s="272"/>
      <c r="BT78" s="272"/>
      <c r="BU78" s="272"/>
      <c r="BV78" s="272"/>
      <c r="BW78" s="272"/>
      <c r="BX78" s="272"/>
      <c r="BY78" s="272"/>
      <c r="BZ78" s="272"/>
      <c r="CA78" s="272"/>
      <c r="CB78" s="272"/>
      <c r="CC78" s="272"/>
      <c r="CD78" s="272"/>
      <c r="CE78" s="272"/>
      <c r="CF78" s="272"/>
      <c r="CG78" s="272"/>
      <c r="CH78" s="272"/>
      <c r="CI78" s="272">
        <f t="shared" si="11"/>
        <v>19</v>
      </c>
      <c r="CJ78" s="272">
        <f t="shared" si="12"/>
        <v>19</v>
      </c>
      <c r="CK78" s="272">
        <f t="shared" si="13"/>
        <v>9</v>
      </c>
      <c r="CL78" s="272">
        <f t="shared" si="14"/>
        <v>10</v>
      </c>
      <c r="CM78" s="272">
        <f t="shared" si="15"/>
        <v>0</v>
      </c>
      <c r="CN78" s="272">
        <f t="shared" si="16"/>
        <v>0</v>
      </c>
      <c r="CO78" s="272">
        <f t="shared" si="17"/>
        <v>0</v>
      </c>
      <c r="CP78" s="272">
        <f t="shared" si="18"/>
        <v>0</v>
      </c>
      <c r="CQ78" s="272">
        <v>0</v>
      </c>
      <c r="CR78" s="272">
        <f t="shared" si="19"/>
        <v>0</v>
      </c>
      <c r="CS78" s="272">
        <f t="shared" si="20"/>
        <v>0</v>
      </c>
      <c r="CT78" s="272">
        <v>33</v>
      </c>
      <c r="CU78" s="272">
        <v>30</v>
      </c>
      <c r="CV78" s="272">
        <v>30</v>
      </c>
      <c r="CW78" s="272">
        <v>103</v>
      </c>
      <c r="CX78" s="272">
        <v>92</v>
      </c>
      <c r="CY78" s="272">
        <v>83</v>
      </c>
    </row>
    <row r="79" spans="1:103">
      <c r="A79" s="272" t="s">
        <v>86</v>
      </c>
      <c r="B79" s="272">
        <v>1</v>
      </c>
      <c r="C79" s="272">
        <v>0</v>
      </c>
      <c r="D79" s="272">
        <v>0</v>
      </c>
      <c r="E79" s="272">
        <v>0</v>
      </c>
      <c r="F79" s="272">
        <v>0</v>
      </c>
      <c r="G79" s="272">
        <v>0</v>
      </c>
      <c r="H79" s="272">
        <v>0</v>
      </c>
      <c r="I79" s="272">
        <v>0</v>
      </c>
      <c r="J79" s="272">
        <v>0</v>
      </c>
      <c r="K79" s="272">
        <v>0</v>
      </c>
      <c r="L79" s="272">
        <v>0</v>
      </c>
      <c r="M79" s="272">
        <v>0</v>
      </c>
      <c r="N79" s="272">
        <v>0</v>
      </c>
      <c r="O79" s="272">
        <v>0</v>
      </c>
      <c r="P79" s="272">
        <v>0</v>
      </c>
      <c r="Q79" s="272">
        <v>0</v>
      </c>
      <c r="R79" s="272">
        <v>0</v>
      </c>
      <c r="S79" s="272">
        <v>0</v>
      </c>
      <c r="T79" s="272">
        <v>0</v>
      </c>
      <c r="U79" s="272">
        <v>905</v>
      </c>
      <c r="V79" s="272">
        <v>216</v>
      </c>
      <c r="W79" s="272">
        <v>47</v>
      </c>
      <c r="X79" s="272">
        <v>2</v>
      </c>
      <c r="Y79" s="272">
        <v>0</v>
      </c>
      <c r="Z79" s="272">
        <v>0</v>
      </c>
      <c r="AA79" s="272">
        <v>12</v>
      </c>
      <c r="AB79" s="272">
        <v>4</v>
      </c>
      <c r="AC79" s="272">
        <v>1</v>
      </c>
      <c r="AD79" s="272">
        <v>0</v>
      </c>
      <c r="AE79" s="272">
        <v>0</v>
      </c>
      <c r="AF79" s="272">
        <v>0</v>
      </c>
      <c r="AG79" s="272">
        <v>0</v>
      </c>
      <c r="AH79" s="272">
        <v>0</v>
      </c>
      <c r="AI79" s="272">
        <v>0</v>
      </c>
      <c r="AJ79" s="272">
        <v>0</v>
      </c>
      <c r="AK79" s="272">
        <v>0</v>
      </c>
      <c r="AL79" s="272">
        <v>0</v>
      </c>
      <c r="AM79" s="272">
        <v>0</v>
      </c>
      <c r="AN79" s="272">
        <v>0</v>
      </c>
      <c r="AO79" s="272">
        <v>0</v>
      </c>
      <c r="AP79" s="272">
        <v>0</v>
      </c>
      <c r="AQ79" s="272">
        <v>0</v>
      </c>
      <c r="AR79" s="272">
        <v>0</v>
      </c>
      <c r="AS79" s="272">
        <v>0</v>
      </c>
      <c r="AT79" s="272">
        <v>0</v>
      </c>
      <c r="AU79" s="272">
        <v>0</v>
      </c>
      <c r="AV79" s="272">
        <v>0</v>
      </c>
      <c r="AW79" s="272">
        <v>0</v>
      </c>
      <c r="AX79" s="272">
        <v>0</v>
      </c>
      <c r="AY79" s="272">
        <v>0</v>
      </c>
      <c r="AZ79" s="272">
        <v>12</v>
      </c>
      <c r="BA79" s="272">
        <v>12</v>
      </c>
      <c r="BB79" s="272">
        <v>12</v>
      </c>
      <c r="BC79" s="272">
        <v>57</v>
      </c>
      <c r="BD79" s="272">
        <v>46</v>
      </c>
      <c r="BE79" s="272">
        <v>46</v>
      </c>
      <c r="BF79" s="272">
        <v>4</v>
      </c>
      <c r="BG79" s="272">
        <v>0</v>
      </c>
      <c r="BH79" s="272">
        <v>1</v>
      </c>
      <c r="BI79" s="272"/>
      <c r="BJ79" s="272"/>
      <c r="BK79" s="272"/>
      <c r="BL79" s="272"/>
      <c r="BM79" s="272"/>
      <c r="BN79" s="272"/>
      <c r="BO79" s="272"/>
      <c r="BP79" s="272"/>
      <c r="BQ79" s="272"/>
      <c r="BR79" s="272"/>
      <c r="BS79" s="272"/>
      <c r="BT79" s="272"/>
      <c r="BU79" s="272"/>
      <c r="BV79" s="272"/>
      <c r="BW79" s="272"/>
      <c r="BX79" s="272"/>
      <c r="BY79" s="272"/>
      <c r="BZ79" s="272"/>
      <c r="CA79" s="272"/>
      <c r="CB79" s="272"/>
      <c r="CC79" s="272"/>
      <c r="CD79" s="272"/>
      <c r="CE79" s="272"/>
      <c r="CF79" s="272"/>
      <c r="CG79" s="272"/>
      <c r="CH79" s="272"/>
      <c r="CI79" s="272">
        <f t="shared" si="11"/>
        <v>12</v>
      </c>
      <c r="CJ79" s="272">
        <f t="shared" si="12"/>
        <v>12</v>
      </c>
      <c r="CK79" s="272">
        <f t="shared" si="13"/>
        <v>8</v>
      </c>
      <c r="CL79" s="272">
        <f t="shared" si="14"/>
        <v>4</v>
      </c>
      <c r="CM79" s="272">
        <f t="shared" si="15"/>
        <v>0</v>
      </c>
      <c r="CN79" s="272">
        <f t="shared" si="16"/>
        <v>0</v>
      </c>
      <c r="CO79" s="272">
        <f t="shared" si="17"/>
        <v>0</v>
      </c>
      <c r="CP79" s="272">
        <f t="shared" si="18"/>
        <v>0</v>
      </c>
      <c r="CQ79" s="272">
        <v>0</v>
      </c>
      <c r="CR79" s="272">
        <f t="shared" si="19"/>
        <v>0</v>
      </c>
      <c r="CS79" s="272">
        <f t="shared" si="20"/>
        <v>0</v>
      </c>
      <c r="CT79" s="272">
        <v>33</v>
      </c>
      <c r="CU79" s="272">
        <v>27</v>
      </c>
      <c r="CV79" s="272">
        <v>27</v>
      </c>
      <c r="CW79" s="272">
        <v>102</v>
      </c>
      <c r="CX79" s="272">
        <v>87</v>
      </c>
      <c r="CY79" s="272">
        <v>77</v>
      </c>
    </row>
    <row r="80" spans="1:103">
      <c r="A80" s="272" t="s">
        <v>87</v>
      </c>
      <c r="B80" s="272">
        <v>0</v>
      </c>
      <c r="C80" s="272">
        <v>0</v>
      </c>
      <c r="D80" s="272">
        <v>0</v>
      </c>
      <c r="E80" s="272">
        <v>0</v>
      </c>
      <c r="F80" s="272">
        <v>0</v>
      </c>
      <c r="G80" s="272">
        <v>0</v>
      </c>
      <c r="H80" s="272">
        <v>0</v>
      </c>
      <c r="I80" s="272">
        <v>0</v>
      </c>
      <c r="J80" s="272">
        <v>0</v>
      </c>
      <c r="K80" s="272">
        <v>0</v>
      </c>
      <c r="L80" s="272">
        <v>0</v>
      </c>
      <c r="M80" s="272">
        <v>0</v>
      </c>
      <c r="N80" s="272">
        <v>0</v>
      </c>
      <c r="O80" s="272">
        <v>0</v>
      </c>
      <c r="P80" s="272">
        <v>0</v>
      </c>
      <c r="Q80" s="272">
        <v>0</v>
      </c>
      <c r="R80" s="272">
        <v>0</v>
      </c>
      <c r="S80" s="272">
        <v>0</v>
      </c>
      <c r="T80" s="272">
        <v>0</v>
      </c>
      <c r="U80" s="272">
        <v>882</v>
      </c>
      <c r="V80" s="272">
        <v>200</v>
      </c>
      <c r="W80" s="272">
        <v>46</v>
      </c>
      <c r="X80" s="272">
        <v>5</v>
      </c>
      <c r="Y80" s="272">
        <v>0</v>
      </c>
      <c r="Z80" s="272">
        <v>0</v>
      </c>
      <c r="AA80" s="272">
        <v>14</v>
      </c>
      <c r="AB80" s="272">
        <v>10</v>
      </c>
      <c r="AC80" s="272">
        <v>3</v>
      </c>
      <c r="AD80" s="272">
        <v>0</v>
      </c>
      <c r="AE80" s="272">
        <v>0</v>
      </c>
      <c r="AF80" s="272">
        <v>0</v>
      </c>
      <c r="AG80" s="272">
        <v>0</v>
      </c>
      <c r="AH80" s="272">
        <v>0</v>
      </c>
      <c r="AI80" s="272">
        <v>0</v>
      </c>
      <c r="AJ80" s="272">
        <v>0</v>
      </c>
      <c r="AK80" s="272">
        <v>0</v>
      </c>
      <c r="AL80" s="272">
        <v>0</v>
      </c>
      <c r="AM80" s="272">
        <v>0</v>
      </c>
      <c r="AN80" s="272">
        <v>0</v>
      </c>
      <c r="AO80" s="272">
        <v>0</v>
      </c>
      <c r="AP80" s="272">
        <v>0</v>
      </c>
      <c r="AQ80" s="272">
        <v>0</v>
      </c>
      <c r="AR80" s="272">
        <v>0</v>
      </c>
      <c r="AS80" s="272">
        <v>0</v>
      </c>
      <c r="AT80" s="272">
        <v>0</v>
      </c>
      <c r="AU80" s="272">
        <v>0</v>
      </c>
      <c r="AV80" s="272">
        <v>0</v>
      </c>
      <c r="AW80" s="272">
        <v>0</v>
      </c>
      <c r="AX80" s="272">
        <v>0</v>
      </c>
      <c r="AY80" s="272">
        <v>0</v>
      </c>
      <c r="AZ80" s="272">
        <v>12</v>
      </c>
      <c r="BA80" s="272">
        <v>12</v>
      </c>
      <c r="BB80" s="272">
        <v>12</v>
      </c>
      <c r="BC80" s="272">
        <v>57</v>
      </c>
      <c r="BD80" s="272">
        <v>51</v>
      </c>
      <c r="BE80" s="272">
        <v>51</v>
      </c>
      <c r="BF80" s="272">
        <v>8</v>
      </c>
      <c r="BG80" s="272">
        <v>0</v>
      </c>
      <c r="BH80" s="272"/>
      <c r="BI80" s="272"/>
      <c r="BJ80" s="272"/>
      <c r="BK80" s="272"/>
      <c r="BL80" s="272"/>
      <c r="BM80" s="272"/>
      <c r="BN80" s="272"/>
      <c r="BO80" s="272"/>
      <c r="BP80" s="272"/>
      <c r="BQ80" s="272"/>
      <c r="BR80" s="272"/>
      <c r="BS80" s="272"/>
      <c r="BT80" s="272"/>
      <c r="BU80" s="272"/>
      <c r="BV80" s="272"/>
      <c r="BW80" s="272"/>
      <c r="BX80" s="272"/>
      <c r="BY80" s="272"/>
      <c r="BZ80" s="272"/>
      <c r="CA80" s="272"/>
      <c r="CB80" s="272"/>
      <c r="CC80" s="272"/>
      <c r="CD80" s="272"/>
      <c r="CE80" s="272"/>
      <c r="CF80" s="272"/>
      <c r="CG80" s="272"/>
      <c r="CH80" s="272"/>
      <c r="CI80" s="272">
        <f t="shared" si="11"/>
        <v>14</v>
      </c>
      <c r="CJ80" s="272">
        <f t="shared" si="12"/>
        <v>14</v>
      </c>
      <c r="CK80" s="272">
        <f t="shared" si="13"/>
        <v>4</v>
      </c>
      <c r="CL80" s="272">
        <f t="shared" si="14"/>
        <v>10</v>
      </c>
      <c r="CM80" s="272">
        <f t="shared" si="15"/>
        <v>0</v>
      </c>
      <c r="CN80" s="272">
        <f t="shared" si="16"/>
        <v>0</v>
      </c>
      <c r="CO80" s="272">
        <f t="shared" si="17"/>
        <v>0</v>
      </c>
      <c r="CP80" s="272">
        <f t="shared" si="18"/>
        <v>0</v>
      </c>
      <c r="CQ80" s="272">
        <v>0</v>
      </c>
      <c r="CR80" s="272">
        <f t="shared" si="19"/>
        <v>0</v>
      </c>
      <c r="CS80" s="272">
        <f t="shared" si="20"/>
        <v>0</v>
      </c>
      <c r="CT80" s="272">
        <v>33</v>
      </c>
      <c r="CU80" s="272">
        <v>29</v>
      </c>
      <c r="CV80" s="272">
        <v>29</v>
      </c>
      <c r="CW80" s="272">
        <v>102</v>
      </c>
      <c r="CX80" s="272">
        <v>92</v>
      </c>
      <c r="CY80" s="272">
        <v>82</v>
      </c>
    </row>
    <row r="81" spans="1:103">
      <c r="A81" s="272" t="s">
        <v>88</v>
      </c>
      <c r="B81" s="272">
        <v>0</v>
      </c>
      <c r="C81" s="272">
        <v>0</v>
      </c>
      <c r="D81" s="272">
        <v>0</v>
      </c>
      <c r="E81" s="272">
        <v>0</v>
      </c>
      <c r="F81" s="272">
        <v>0</v>
      </c>
      <c r="G81" s="272">
        <v>0</v>
      </c>
      <c r="H81" s="272">
        <v>0</v>
      </c>
      <c r="I81" s="272">
        <v>0</v>
      </c>
      <c r="J81" s="272">
        <v>0</v>
      </c>
      <c r="K81" s="272">
        <v>0</v>
      </c>
      <c r="L81" s="272">
        <v>0</v>
      </c>
      <c r="M81" s="272">
        <v>0</v>
      </c>
      <c r="N81" s="272">
        <v>0</v>
      </c>
      <c r="O81" s="272">
        <v>0</v>
      </c>
      <c r="P81" s="272">
        <v>0</v>
      </c>
      <c r="Q81" s="272">
        <v>0</v>
      </c>
      <c r="R81" s="272">
        <v>0</v>
      </c>
      <c r="S81" s="272">
        <v>0</v>
      </c>
      <c r="T81" s="272">
        <v>0</v>
      </c>
      <c r="U81" s="272">
        <v>769</v>
      </c>
      <c r="V81" s="272">
        <v>158</v>
      </c>
      <c r="W81" s="272">
        <v>34</v>
      </c>
      <c r="X81" s="272">
        <v>3</v>
      </c>
      <c r="Y81" s="272">
        <v>0</v>
      </c>
      <c r="Z81" s="272">
        <v>0</v>
      </c>
      <c r="AA81" s="272">
        <v>20</v>
      </c>
      <c r="AB81" s="272">
        <v>5</v>
      </c>
      <c r="AC81" s="272">
        <v>2</v>
      </c>
      <c r="AD81" s="272">
        <v>0</v>
      </c>
      <c r="AE81" s="272">
        <v>0</v>
      </c>
      <c r="AF81" s="272">
        <v>0</v>
      </c>
      <c r="AG81" s="272">
        <v>0</v>
      </c>
      <c r="AH81" s="272">
        <v>0</v>
      </c>
      <c r="AI81" s="272">
        <v>0</v>
      </c>
      <c r="AJ81" s="272">
        <v>0</v>
      </c>
      <c r="AK81" s="272">
        <v>0</v>
      </c>
      <c r="AL81" s="272">
        <v>0</v>
      </c>
      <c r="AM81" s="272">
        <v>0</v>
      </c>
      <c r="AN81" s="272">
        <v>0</v>
      </c>
      <c r="AO81" s="272">
        <v>0</v>
      </c>
      <c r="AP81" s="272">
        <v>0</v>
      </c>
      <c r="AQ81" s="272">
        <v>0</v>
      </c>
      <c r="AR81" s="272">
        <v>0</v>
      </c>
      <c r="AS81" s="272">
        <v>0</v>
      </c>
      <c r="AT81" s="272">
        <v>0</v>
      </c>
      <c r="AU81" s="272">
        <v>0</v>
      </c>
      <c r="AV81" s="272">
        <v>0</v>
      </c>
      <c r="AW81" s="272">
        <v>0</v>
      </c>
      <c r="AX81" s="272">
        <v>0</v>
      </c>
      <c r="AY81" s="272">
        <v>0</v>
      </c>
      <c r="AZ81" s="272">
        <v>12</v>
      </c>
      <c r="BA81" s="272">
        <v>12</v>
      </c>
      <c r="BB81" s="272">
        <v>12</v>
      </c>
      <c r="BC81" s="272">
        <v>57</v>
      </c>
      <c r="BD81" s="272">
        <v>51</v>
      </c>
      <c r="BE81" s="272">
        <v>50</v>
      </c>
      <c r="BF81" s="272">
        <v>7</v>
      </c>
      <c r="BG81" s="272">
        <v>0</v>
      </c>
      <c r="BH81" s="272"/>
      <c r="BI81" s="272"/>
      <c r="BJ81" s="272"/>
      <c r="BK81" s="272"/>
      <c r="BL81" s="272"/>
      <c r="BM81" s="272"/>
      <c r="BN81" s="272"/>
      <c r="BO81" s="272"/>
      <c r="BP81" s="272"/>
      <c r="BQ81" s="272"/>
      <c r="BR81" s="272"/>
      <c r="BS81" s="272"/>
      <c r="BT81" s="272"/>
      <c r="BU81" s="272"/>
      <c r="BV81" s="272"/>
      <c r="BW81" s="272"/>
      <c r="BX81" s="272"/>
      <c r="BY81" s="272"/>
      <c r="BZ81" s="272"/>
      <c r="CA81" s="272"/>
      <c r="CB81" s="272"/>
      <c r="CC81" s="272"/>
      <c r="CD81" s="272"/>
      <c r="CE81" s="272"/>
      <c r="CF81" s="272"/>
      <c r="CG81" s="272"/>
      <c r="CH81" s="272"/>
      <c r="CI81" s="272">
        <f t="shared" si="11"/>
        <v>20</v>
      </c>
      <c r="CJ81" s="272">
        <f t="shared" si="12"/>
        <v>20</v>
      </c>
      <c r="CK81" s="272">
        <f t="shared" si="13"/>
        <v>15</v>
      </c>
      <c r="CL81" s="272">
        <f t="shared" si="14"/>
        <v>5</v>
      </c>
      <c r="CM81" s="272">
        <f t="shared" si="15"/>
        <v>0</v>
      </c>
      <c r="CN81" s="272">
        <f t="shared" si="16"/>
        <v>0</v>
      </c>
      <c r="CO81" s="272">
        <f t="shared" si="17"/>
        <v>0</v>
      </c>
      <c r="CP81" s="272">
        <f t="shared" si="18"/>
        <v>0</v>
      </c>
      <c r="CQ81" s="272">
        <v>0</v>
      </c>
      <c r="CR81" s="272">
        <f t="shared" si="19"/>
        <v>0</v>
      </c>
      <c r="CS81" s="272">
        <f t="shared" si="20"/>
        <v>0</v>
      </c>
      <c r="CT81" s="272">
        <v>33</v>
      </c>
      <c r="CU81" s="272">
        <v>32</v>
      </c>
      <c r="CV81" s="272">
        <v>32</v>
      </c>
      <c r="CW81" s="272">
        <v>102</v>
      </c>
      <c r="CX81" s="272">
        <v>95</v>
      </c>
      <c r="CY81" s="272">
        <v>84</v>
      </c>
    </row>
    <row r="82" spans="1:103">
      <c r="A82" s="272" t="s">
        <v>89</v>
      </c>
      <c r="B82" s="272">
        <v>0</v>
      </c>
      <c r="C82" s="272">
        <v>0</v>
      </c>
      <c r="D82" s="272">
        <v>0</v>
      </c>
      <c r="E82" s="272">
        <v>0</v>
      </c>
      <c r="F82" s="272">
        <v>0</v>
      </c>
      <c r="G82" s="272">
        <v>0</v>
      </c>
      <c r="H82" s="272">
        <v>0</v>
      </c>
      <c r="I82" s="272">
        <v>0</v>
      </c>
      <c r="J82" s="272">
        <v>0</v>
      </c>
      <c r="K82" s="272">
        <v>0</v>
      </c>
      <c r="L82" s="272">
        <v>0</v>
      </c>
      <c r="M82" s="272">
        <v>0</v>
      </c>
      <c r="N82" s="272">
        <v>0</v>
      </c>
      <c r="O82" s="272">
        <v>0</v>
      </c>
      <c r="P82" s="272">
        <v>0</v>
      </c>
      <c r="Q82" s="272">
        <v>0</v>
      </c>
      <c r="R82" s="272">
        <v>0</v>
      </c>
      <c r="S82" s="272">
        <v>0</v>
      </c>
      <c r="T82" s="272">
        <v>0</v>
      </c>
      <c r="U82" s="272">
        <v>808</v>
      </c>
      <c r="V82" s="272">
        <v>223</v>
      </c>
      <c r="W82" s="272">
        <v>34</v>
      </c>
      <c r="X82" s="272">
        <v>2</v>
      </c>
      <c r="Y82" s="272">
        <v>0</v>
      </c>
      <c r="Z82" s="272">
        <v>0</v>
      </c>
      <c r="AA82" s="272">
        <v>46</v>
      </c>
      <c r="AB82" s="272">
        <v>16</v>
      </c>
      <c r="AC82" s="272">
        <v>5</v>
      </c>
      <c r="AD82" s="272">
        <v>0</v>
      </c>
      <c r="AE82" s="272">
        <v>0</v>
      </c>
      <c r="AF82" s="272">
        <v>0</v>
      </c>
      <c r="AG82" s="272">
        <v>0</v>
      </c>
      <c r="AH82" s="272">
        <v>0</v>
      </c>
      <c r="AI82" s="272">
        <v>0</v>
      </c>
      <c r="AJ82" s="272">
        <v>0</v>
      </c>
      <c r="AK82" s="272">
        <v>0</v>
      </c>
      <c r="AL82" s="272">
        <v>0</v>
      </c>
      <c r="AM82" s="272">
        <v>0</v>
      </c>
      <c r="AN82" s="272">
        <v>0</v>
      </c>
      <c r="AO82" s="272">
        <v>0</v>
      </c>
      <c r="AP82" s="272">
        <v>0</v>
      </c>
      <c r="AQ82" s="272">
        <v>0</v>
      </c>
      <c r="AR82" s="272">
        <v>0</v>
      </c>
      <c r="AS82" s="272">
        <v>0</v>
      </c>
      <c r="AT82" s="272">
        <v>0</v>
      </c>
      <c r="AU82" s="272">
        <v>0</v>
      </c>
      <c r="AV82" s="272">
        <v>0</v>
      </c>
      <c r="AW82" s="272">
        <v>0</v>
      </c>
      <c r="AX82" s="272">
        <v>0</v>
      </c>
      <c r="AY82" s="272">
        <v>0</v>
      </c>
      <c r="AZ82" s="272">
        <v>12</v>
      </c>
      <c r="BA82" s="272">
        <v>12</v>
      </c>
      <c r="BB82" s="272">
        <v>12</v>
      </c>
      <c r="BC82" s="272">
        <v>57</v>
      </c>
      <c r="BD82" s="272">
        <v>49</v>
      </c>
      <c r="BE82" s="272">
        <v>48</v>
      </c>
      <c r="BF82" s="272">
        <v>10</v>
      </c>
      <c r="BG82" s="272">
        <v>0</v>
      </c>
      <c r="BH82" s="272"/>
      <c r="BI82" s="272"/>
      <c r="BJ82" s="272"/>
      <c r="BK82" s="272"/>
      <c r="BL82" s="272"/>
      <c r="BM82" s="272"/>
      <c r="BN82" s="272"/>
      <c r="BO82" s="272"/>
      <c r="BP82" s="272"/>
      <c r="BQ82" s="272"/>
      <c r="BR82" s="272"/>
      <c r="BS82" s="272"/>
      <c r="BT82" s="272"/>
      <c r="BU82" s="272"/>
      <c r="BV82" s="272"/>
      <c r="BW82" s="272"/>
      <c r="BX82" s="272"/>
      <c r="BY82" s="272"/>
      <c r="BZ82" s="272"/>
      <c r="CA82" s="272"/>
      <c r="CB82" s="272"/>
      <c r="CC82" s="272"/>
      <c r="CD82" s="272"/>
      <c r="CE82" s="272"/>
      <c r="CF82" s="272"/>
      <c r="CG82" s="272"/>
      <c r="CH82" s="272"/>
      <c r="CI82" s="272">
        <f t="shared" si="11"/>
        <v>46</v>
      </c>
      <c r="CJ82" s="272">
        <f t="shared" si="12"/>
        <v>46</v>
      </c>
      <c r="CK82" s="272">
        <f t="shared" si="13"/>
        <v>30</v>
      </c>
      <c r="CL82" s="272">
        <f t="shared" si="14"/>
        <v>16</v>
      </c>
      <c r="CM82" s="272">
        <f t="shared" si="15"/>
        <v>0</v>
      </c>
      <c r="CN82" s="272">
        <f t="shared" si="16"/>
        <v>0</v>
      </c>
      <c r="CO82" s="272">
        <f t="shared" si="17"/>
        <v>0</v>
      </c>
      <c r="CP82" s="272">
        <f t="shared" si="18"/>
        <v>0</v>
      </c>
      <c r="CQ82" s="272">
        <v>0</v>
      </c>
      <c r="CR82" s="272">
        <f t="shared" si="19"/>
        <v>0</v>
      </c>
      <c r="CS82" s="272">
        <f t="shared" si="20"/>
        <v>0</v>
      </c>
      <c r="CT82" s="272">
        <v>33</v>
      </c>
      <c r="CU82" s="272">
        <v>34</v>
      </c>
      <c r="CV82" s="272">
        <v>31</v>
      </c>
      <c r="CW82" s="272">
        <v>102</v>
      </c>
      <c r="CX82" s="272">
        <v>95</v>
      </c>
      <c r="CY82" s="272">
        <v>91</v>
      </c>
    </row>
    <row r="83" spans="1:103">
      <c r="A83" s="272" t="s">
        <v>90</v>
      </c>
      <c r="B83" s="272">
        <v>0</v>
      </c>
      <c r="C83" s="272">
        <v>0</v>
      </c>
      <c r="D83" s="272">
        <v>1</v>
      </c>
      <c r="E83" s="272">
        <v>0</v>
      </c>
      <c r="F83" s="272">
        <v>0</v>
      </c>
      <c r="G83" s="272">
        <v>0</v>
      </c>
      <c r="H83" s="272">
        <v>0</v>
      </c>
      <c r="I83" s="272">
        <v>0</v>
      </c>
      <c r="J83" s="272">
        <v>0</v>
      </c>
      <c r="K83" s="272">
        <v>0</v>
      </c>
      <c r="L83" s="272">
        <v>0</v>
      </c>
      <c r="M83" s="272">
        <v>0</v>
      </c>
      <c r="N83" s="272">
        <v>0</v>
      </c>
      <c r="O83" s="272">
        <v>0</v>
      </c>
      <c r="P83" s="272">
        <v>0</v>
      </c>
      <c r="Q83" s="272">
        <v>0</v>
      </c>
      <c r="R83" s="272">
        <v>0</v>
      </c>
      <c r="S83" s="272">
        <v>0</v>
      </c>
      <c r="T83" s="272">
        <v>0</v>
      </c>
      <c r="U83" s="272">
        <v>826</v>
      </c>
      <c r="V83" s="272">
        <v>255</v>
      </c>
      <c r="W83" s="272">
        <v>39</v>
      </c>
      <c r="X83" s="272">
        <v>0</v>
      </c>
      <c r="Y83" s="272">
        <v>0</v>
      </c>
      <c r="Z83" s="272">
        <v>0</v>
      </c>
      <c r="AA83" s="272">
        <v>24</v>
      </c>
      <c r="AB83" s="272">
        <v>11</v>
      </c>
      <c r="AC83" s="272">
        <v>4</v>
      </c>
      <c r="AD83" s="272">
        <v>0</v>
      </c>
      <c r="AE83" s="272">
        <v>0</v>
      </c>
      <c r="AF83" s="272">
        <v>0</v>
      </c>
      <c r="AG83" s="272">
        <v>0</v>
      </c>
      <c r="AH83" s="272">
        <v>0</v>
      </c>
      <c r="AI83" s="272">
        <v>0</v>
      </c>
      <c r="AJ83" s="272">
        <v>0</v>
      </c>
      <c r="AK83" s="272">
        <v>0</v>
      </c>
      <c r="AL83" s="272">
        <v>0</v>
      </c>
      <c r="AM83" s="272">
        <v>0</v>
      </c>
      <c r="AN83" s="272">
        <v>0</v>
      </c>
      <c r="AO83" s="272">
        <v>0</v>
      </c>
      <c r="AP83" s="272">
        <v>0</v>
      </c>
      <c r="AQ83" s="272">
        <v>0</v>
      </c>
      <c r="AR83" s="272">
        <v>0</v>
      </c>
      <c r="AS83" s="272">
        <v>0</v>
      </c>
      <c r="AT83" s="272">
        <v>0</v>
      </c>
      <c r="AU83" s="272">
        <v>0</v>
      </c>
      <c r="AV83" s="272">
        <v>0</v>
      </c>
      <c r="AW83" s="272">
        <v>0</v>
      </c>
      <c r="AX83" s="272">
        <v>0</v>
      </c>
      <c r="AY83" s="272">
        <v>0</v>
      </c>
      <c r="AZ83" s="272">
        <v>12</v>
      </c>
      <c r="BA83" s="272">
        <v>12</v>
      </c>
      <c r="BB83" s="272">
        <v>12</v>
      </c>
      <c r="BC83" s="272">
        <v>58</v>
      </c>
      <c r="BD83" s="272">
        <v>52</v>
      </c>
      <c r="BE83" s="272">
        <v>50</v>
      </c>
      <c r="BF83" s="272">
        <v>27</v>
      </c>
      <c r="BG83" s="272">
        <v>0</v>
      </c>
      <c r="BH83" s="272"/>
      <c r="BI83" s="272"/>
      <c r="BJ83" s="272"/>
      <c r="BK83" s="272"/>
      <c r="BL83" s="272"/>
      <c r="BM83" s="272"/>
      <c r="BN83" s="272"/>
      <c r="BO83" s="272"/>
      <c r="BP83" s="272"/>
      <c r="BQ83" s="272"/>
      <c r="BR83" s="272"/>
      <c r="BS83" s="272"/>
      <c r="BT83" s="272"/>
      <c r="BU83" s="272"/>
      <c r="BV83" s="272"/>
      <c r="BW83" s="272"/>
      <c r="BX83" s="272"/>
      <c r="BY83" s="272"/>
      <c r="BZ83" s="272"/>
      <c r="CA83" s="272"/>
      <c r="CB83" s="272"/>
      <c r="CC83" s="272"/>
      <c r="CD83" s="272"/>
      <c r="CE83" s="272"/>
      <c r="CF83" s="272"/>
      <c r="CG83" s="272"/>
      <c r="CH83" s="272"/>
      <c r="CI83" s="272">
        <f t="shared" si="11"/>
        <v>24</v>
      </c>
      <c r="CJ83" s="272">
        <f t="shared" si="12"/>
        <v>24</v>
      </c>
      <c r="CK83" s="272">
        <f t="shared" si="13"/>
        <v>13</v>
      </c>
      <c r="CL83" s="272">
        <f t="shared" si="14"/>
        <v>11</v>
      </c>
      <c r="CM83" s="272">
        <f t="shared" si="15"/>
        <v>1</v>
      </c>
      <c r="CN83" s="272">
        <f t="shared" si="16"/>
        <v>1</v>
      </c>
      <c r="CO83" s="272">
        <f t="shared" si="17"/>
        <v>0</v>
      </c>
      <c r="CP83" s="272">
        <f t="shared" si="18"/>
        <v>0</v>
      </c>
      <c r="CQ83" s="272">
        <v>0</v>
      </c>
      <c r="CR83" s="272">
        <f t="shared" si="19"/>
        <v>0</v>
      </c>
      <c r="CS83" s="272">
        <f t="shared" si="20"/>
        <v>0</v>
      </c>
      <c r="CT83" s="272">
        <v>33</v>
      </c>
      <c r="CU83" s="272">
        <v>32</v>
      </c>
      <c r="CV83" s="272">
        <v>32</v>
      </c>
      <c r="CW83" s="272">
        <v>103</v>
      </c>
      <c r="CX83" s="272">
        <v>96</v>
      </c>
      <c r="CY83" s="272">
        <v>94</v>
      </c>
    </row>
    <row r="84" spans="1:103">
      <c r="A84" s="272" t="s">
        <v>91</v>
      </c>
      <c r="B84" s="272">
        <v>0</v>
      </c>
      <c r="C84" s="272">
        <v>0</v>
      </c>
      <c r="D84" s="272">
        <v>0</v>
      </c>
      <c r="E84" s="272">
        <v>0</v>
      </c>
      <c r="F84" s="272">
        <v>0</v>
      </c>
      <c r="G84" s="272">
        <v>0</v>
      </c>
      <c r="H84" s="272">
        <v>0</v>
      </c>
      <c r="I84" s="272">
        <v>0</v>
      </c>
      <c r="J84" s="272">
        <v>0</v>
      </c>
      <c r="K84" s="272">
        <v>0</v>
      </c>
      <c r="L84" s="272">
        <v>2</v>
      </c>
      <c r="M84" s="272">
        <v>0</v>
      </c>
      <c r="N84" s="272">
        <v>0</v>
      </c>
      <c r="O84" s="272">
        <v>0</v>
      </c>
      <c r="P84" s="272">
        <v>0</v>
      </c>
      <c r="Q84" s="272">
        <v>0</v>
      </c>
      <c r="R84" s="272">
        <v>0</v>
      </c>
      <c r="S84" s="272">
        <v>0</v>
      </c>
      <c r="T84" s="272">
        <v>0</v>
      </c>
      <c r="U84" s="272">
        <v>800</v>
      </c>
      <c r="V84" s="272">
        <v>226</v>
      </c>
      <c r="W84" s="272">
        <v>49</v>
      </c>
      <c r="X84" s="272">
        <v>4</v>
      </c>
      <c r="Y84" s="272">
        <v>0</v>
      </c>
      <c r="Z84" s="272">
        <v>0</v>
      </c>
      <c r="AA84" s="272">
        <v>23</v>
      </c>
      <c r="AB84" s="272">
        <v>12</v>
      </c>
      <c r="AC84" s="272">
        <v>4</v>
      </c>
      <c r="AD84" s="272">
        <v>0</v>
      </c>
      <c r="AE84" s="272">
        <v>0</v>
      </c>
      <c r="AF84" s="272">
        <v>0</v>
      </c>
      <c r="AG84" s="272">
        <v>0</v>
      </c>
      <c r="AH84" s="272">
        <v>0</v>
      </c>
      <c r="AI84" s="272">
        <v>0</v>
      </c>
      <c r="AJ84" s="272">
        <v>0</v>
      </c>
      <c r="AK84" s="272">
        <v>0</v>
      </c>
      <c r="AL84" s="272">
        <v>0</v>
      </c>
      <c r="AM84" s="272">
        <v>0</v>
      </c>
      <c r="AN84" s="272">
        <v>0</v>
      </c>
      <c r="AO84" s="272">
        <v>0</v>
      </c>
      <c r="AP84" s="272">
        <v>0</v>
      </c>
      <c r="AQ84" s="272">
        <v>0</v>
      </c>
      <c r="AR84" s="272">
        <v>0</v>
      </c>
      <c r="AS84" s="272">
        <v>0</v>
      </c>
      <c r="AT84" s="272">
        <v>0</v>
      </c>
      <c r="AU84" s="272">
        <v>0</v>
      </c>
      <c r="AV84" s="272">
        <v>0</v>
      </c>
      <c r="AW84" s="272">
        <v>0</v>
      </c>
      <c r="AX84" s="272">
        <v>0</v>
      </c>
      <c r="AY84" s="272">
        <v>0</v>
      </c>
      <c r="AZ84" s="272">
        <v>12</v>
      </c>
      <c r="BA84" s="272">
        <v>12</v>
      </c>
      <c r="BB84" s="272">
        <v>12</v>
      </c>
      <c r="BC84" s="272">
        <v>57</v>
      </c>
      <c r="BD84" s="272">
        <v>55</v>
      </c>
      <c r="BE84" s="272">
        <v>51</v>
      </c>
      <c r="BF84" s="272">
        <v>20</v>
      </c>
      <c r="BG84" s="272">
        <v>0</v>
      </c>
      <c r="BH84" s="272"/>
      <c r="BI84" s="272"/>
      <c r="BJ84" s="272"/>
      <c r="BK84" s="272"/>
      <c r="BL84" s="272"/>
      <c r="BM84" s="272"/>
      <c r="BN84" s="272"/>
      <c r="BO84" s="272"/>
      <c r="BP84" s="272"/>
      <c r="BQ84" s="272"/>
      <c r="BR84" s="272"/>
      <c r="BS84" s="272"/>
      <c r="BT84" s="272"/>
      <c r="BU84" s="272"/>
      <c r="BV84" s="272"/>
      <c r="BW84" s="272"/>
      <c r="BX84" s="272"/>
      <c r="BY84" s="272"/>
      <c r="BZ84" s="272"/>
      <c r="CA84" s="272"/>
      <c r="CB84" s="272"/>
      <c r="CC84" s="272"/>
      <c r="CD84" s="272"/>
      <c r="CE84" s="272"/>
      <c r="CF84" s="272"/>
      <c r="CG84" s="272"/>
      <c r="CH84" s="272"/>
      <c r="CI84" s="272">
        <f t="shared" si="11"/>
        <v>23</v>
      </c>
      <c r="CJ84" s="272">
        <f t="shared" si="12"/>
        <v>23</v>
      </c>
      <c r="CK84" s="272">
        <f t="shared" si="13"/>
        <v>11</v>
      </c>
      <c r="CL84" s="272">
        <f t="shared" si="14"/>
        <v>12</v>
      </c>
      <c r="CM84" s="272">
        <f t="shared" si="15"/>
        <v>0</v>
      </c>
      <c r="CN84" s="272">
        <f t="shared" si="16"/>
        <v>0</v>
      </c>
      <c r="CO84" s="272">
        <f t="shared" si="17"/>
        <v>2</v>
      </c>
      <c r="CP84" s="272">
        <f t="shared" si="18"/>
        <v>2</v>
      </c>
      <c r="CQ84" s="272">
        <v>0</v>
      </c>
      <c r="CR84" s="272">
        <f t="shared" si="19"/>
        <v>0</v>
      </c>
      <c r="CS84" s="272">
        <f t="shared" si="20"/>
        <v>0</v>
      </c>
      <c r="CT84" s="272">
        <v>33</v>
      </c>
      <c r="CU84" s="272">
        <v>33</v>
      </c>
      <c r="CV84" s="272">
        <v>33</v>
      </c>
      <c r="CW84" s="272">
        <v>104</v>
      </c>
      <c r="CX84" s="272">
        <v>100</v>
      </c>
      <c r="CY84" s="272">
        <v>96</v>
      </c>
    </row>
    <row r="85" spans="1:103">
      <c r="A85" s="272" t="s">
        <v>92</v>
      </c>
      <c r="B85" s="272">
        <v>0</v>
      </c>
      <c r="C85" s="272">
        <v>0</v>
      </c>
      <c r="D85" s="272">
        <v>0</v>
      </c>
      <c r="E85" s="272">
        <v>0</v>
      </c>
      <c r="F85" s="272">
        <v>0</v>
      </c>
      <c r="G85" s="272">
        <v>0</v>
      </c>
      <c r="H85" s="272">
        <v>0</v>
      </c>
      <c r="I85" s="272">
        <v>0</v>
      </c>
      <c r="J85" s="272">
        <v>0</v>
      </c>
      <c r="K85" s="272">
        <v>0</v>
      </c>
      <c r="L85" s="272">
        <v>1</v>
      </c>
      <c r="M85" s="272">
        <v>0</v>
      </c>
      <c r="N85" s="272">
        <v>0</v>
      </c>
      <c r="O85" s="272">
        <v>0</v>
      </c>
      <c r="P85" s="272">
        <v>0</v>
      </c>
      <c r="Q85" s="272">
        <v>0</v>
      </c>
      <c r="R85" s="272">
        <v>0</v>
      </c>
      <c r="S85" s="272">
        <v>0</v>
      </c>
      <c r="T85" s="272">
        <v>0</v>
      </c>
      <c r="U85" s="272">
        <v>717</v>
      </c>
      <c r="V85" s="272">
        <v>207</v>
      </c>
      <c r="W85" s="272">
        <v>34</v>
      </c>
      <c r="X85" s="272">
        <v>4</v>
      </c>
      <c r="Y85" s="272">
        <v>0</v>
      </c>
      <c r="Z85" s="272">
        <v>0</v>
      </c>
      <c r="AA85" s="272">
        <v>21</v>
      </c>
      <c r="AB85" s="272">
        <v>8</v>
      </c>
      <c r="AC85" s="272">
        <v>4</v>
      </c>
      <c r="AD85" s="272">
        <v>0</v>
      </c>
      <c r="AE85" s="272">
        <v>0</v>
      </c>
      <c r="AF85" s="272">
        <v>0</v>
      </c>
      <c r="AG85" s="272">
        <v>0</v>
      </c>
      <c r="AH85" s="272">
        <v>0</v>
      </c>
      <c r="AI85" s="272">
        <v>0</v>
      </c>
      <c r="AJ85" s="272">
        <v>0</v>
      </c>
      <c r="AK85" s="272">
        <v>0</v>
      </c>
      <c r="AL85" s="272">
        <v>0</v>
      </c>
      <c r="AM85" s="272">
        <v>0</v>
      </c>
      <c r="AN85" s="272">
        <v>0</v>
      </c>
      <c r="AO85" s="272">
        <v>0</v>
      </c>
      <c r="AP85" s="272">
        <v>0</v>
      </c>
      <c r="AQ85" s="272">
        <v>0</v>
      </c>
      <c r="AR85" s="272">
        <v>0</v>
      </c>
      <c r="AS85" s="272">
        <v>0</v>
      </c>
      <c r="AT85" s="272">
        <v>0</v>
      </c>
      <c r="AU85" s="272">
        <v>0</v>
      </c>
      <c r="AV85" s="272">
        <v>0</v>
      </c>
      <c r="AW85" s="272">
        <v>0</v>
      </c>
      <c r="AX85" s="272">
        <v>0</v>
      </c>
      <c r="AY85" s="272">
        <v>0</v>
      </c>
      <c r="AZ85" s="272">
        <v>12</v>
      </c>
      <c r="BA85" s="272">
        <v>12</v>
      </c>
      <c r="BB85" s="272">
        <v>11</v>
      </c>
      <c r="BC85" s="272">
        <v>58</v>
      </c>
      <c r="BD85" s="272">
        <v>48</v>
      </c>
      <c r="BE85" s="272">
        <v>39</v>
      </c>
      <c r="BF85" s="272">
        <v>17</v>
      </c>
      <c r="BG85" s="272">
        <v>0</v>
      </c>
      <c r="BH85" s="272"/>
      <c r="BI85" s="272"/>
      <c r="BJ85" s="272"/>
      <c r="BK85" s="272"/>
      <c r="BL85" s="272"/>
      <c r="BM85" s="272"/>
      <c r="BN85" s="272"/>
      <c r="BO85" s="272"/>
      <c r="BP85" s="272"/>
      <c r="BQ85" s="272"/>
      <c r="BR85" s="272"/>
      <c r="BS85" s="272"/>
      <c r="BT85" s="272"/>
      <c r="BU85" s="272"/>
      <c r="BV85" s="272"/>
      <c r="BW85" s="272"/>
      <c r="BX85" s="272"/>
      <c r="BY85" s="272"/>
      <c r="BZ85" s="272"/>
      <c r="CA85" s="272"/>
      <c r="CB85" s="272"/>
      <c r="CC85" s="272"/>
      <c r="CD85" s="272"/>
      <c r="CE85" s="272"/>
      <c r="CF85" s="272"/>
      <c r="CG85" s="272"/>
      <c r="CH85" s="272"/>
      <c r="CI85" s="272">
        <f t="shared" si="11"/>
        <v>21</v>
      </c>
      <c r="CJ85" s="272">
        <f t="shared" si="12"/>
        <v>21</v>
      </c>
      <c r="CK85" s="272">
        <f t="shared" si="13"/>
        <v>13</v>
      </c>
      <c r="CL85" s="272">
        <f t="shared" si="14"/>
        <v>8</v>
      </c>
      <c r="CM85" s="272">
        <f t="shared" si="15"/>
        <v>0</v>
      </c>
      <c r="CN85" s="272">
        <f t="shared" si="16"/>
        <v>0</v>
      </c>
      <c r="CO85" s="272">
        <f t="shared" si="17"/>
        <v>1</v>
      </c>
      <c r="CP85" s="272">
        <f t="shared" si="18"/>
        <v>1</v>
      </c>
      <c r="CQ85" s="272">
        <v>0</v>
      </c>
      <c r="CR85" s="272">
        <f t="shared" si="19"/>
        <v>0</v>
      </c>
      <c r="CS85" s="272">
        <f t="shared" si="20"/>
        <v>0</v>
      </c>
      <c r="CT85" s="272">
        <v>33</v>
      </c>
      <c r="CU85" s="272">
        <v>31</v>
      </c>
      <c r="CV85" s="272">
        <v>28</v>
      </c>
      <c r="CW85" s="272">
        <v>103</v>
      </c>
      <c r="CX85" s="272">
        <v>91</v>
      </c>
      <c r="CY85" s="272">
        <v>79</v>
      </c>
    </row>
    <row r="86" spans="1:103">
      <c r="A86" s="272" t="s">
        <v>93</v>
      </c>
      <c r="B86" s="272">
        <v>0</v>
      </c>
      <c r="C86" s="272">
        <v>0</v>
      </c>
      <c r="D86" s="272">
        <v>0</v>
      </c>
      <c r="E86" s="272">
        <v>0</v>
      </c>
      <c r="F86" s="272">
        <v>0</v>
      </c>
      <c r="G86" s="272">
        <v>0</v>
      </c>
      <c r="H86" s="272">
        <v>0</v>
      </c>
      <c r="I86" s="272">
        <v>0</v>
      </c>
      <c r="J86" s="272">
        <v>0</v>
      </c>
      <c r="K86" s="272">
        <v>0</v>
      </c>
      <c r="L86" s="272">
        <v>0</v>
      </c>
      <c r="M86" s="272">
        <v>0</v>
      </c>
      <c r="N86" s="272">
        <v>0</v>
      </c>
      <c r="O86" s="272">
        <v>0</v>
      </c>
      <c r="P86" s="272">
        <v>0</v>
      </c>
      <c r="Q86" s="272">
        <v>0</v>
      </c>
      <c r="R86" s="272">
        <v>0</v>
      </c>
      <c r="S86" s="272">
        <v>0</v>
      </c>
      <c r="T86" s="272">
        <v>0</v>
      </c>
      <c r="U86" s="272">
        <v>765</v>
      </c>
      <c r="V86" s="272">
        <v>200</v>
      </c>
      <c r="W86" s="272">
        <v>31</v>
      </c>
      <c r="X86" s="272">
        <v>2</v>
      </c>
      <c r="Y86" s="272">
        <v>0</v>
      </c>
      <c r="Z86" s="272">
        <v>0</v>
      </c>
      <c r="AA86" s="272">
        <v>22</v>
      </c>
      <c r="AB86" s="272">
        <v>8</v>
      </c>
      <c r="AC86" s="272">
        <v>2</v>
      </c>
      <c r="AD86" s="272">
        <v>0</v>
      </c>
      <c r="AE86" s="272">
        <v>0</v>
      </c>
      <c r="AF86" s="272">
        <v>0</v>
      </c>
      <c r="AG86" s="272">
        <v>0</v>
      </c>
      <c r="AH86" s="272">
        <v>0</v>
      </c>
      <c r="AI86" s="272">
        <v>0</v>
      </c>
      <c r="AJ86" s="272">
        <v>0</v>
      </c>
      <c r="AK86" s="272">
        <v>0</v>
      </c>
      <c r="AL86" s="272">
        <v>0</v>
      </c>
      <c r="AM86" s="272">
        <v>0</v>
      </c>
      <c r="AN86" s="272">
        <v>0</v>
      </c>
      <c r="AO86" s="272">
        <v>0</v>
      </c>
      <c r="AP86" s="272">
        <v>0</v>
      </c>
      <c r="AQ86" s="272">
        <v>0</v>
      </c>
      <c r="AR86" s="272">
        <v>0</v>
      </c>
      <c r="AS86" s="272">
        <v>0</v>
      </c>
      <c r="AT86" s="272">
        <v>0</v>
      </c>
      <c r="AU86" s="272">
        <v>0</v>
      </c>
      <c r="AV86" s="272">
        <v>0</v>
      </c>
      <c r="AW86" s="272">
        <v>0</v>
      </c>
      <c r="AX86" s="272">
        <v>0</v>
      </c>
      <c r="AY86" s="272">
        <v>0</v>
      </c>
      <c r="AZ86" s="272">
        <v>12</v>
      </c>
      <c r="BA86" s="272">
        <v>12</v>
      </c>
      <c r="BB86" s="272">
        <v>12</v>
      </c>
      <c r="BC86" s="272">
        <v>59</v>
      </c>
      <c r="BD86" s="272">
        <v>53</v>
      </c>
      <c r="BE86" s="272">
        <v>53</v>
      </c>
      <c r="BF86" s="272">
        <v>17</v>
      </c>
      <c r="BG86" s="272">
        <v>0</v>
      </c>
      <c r="BH86" s="272"/>
      <c r="BI86" s="272"/>
      <c r="BJ86" s="272"/>
      <c r="BK86" s="272"/>
      <c r="BL86" s="272"/>
      <c r="BM86" s="272"/>
      <c r="BN86" s="272"/>
      <c r="BO86" s="272"/>
      <c r="BP86" s="272"/>
      <c r="BQ86" s="272"/>
      <c r="BR86" s="272"/>
      <c r="BS86" s="272"/>
      <c r="BT86" s="272"/>
      <c r="BU86" s="272"/>
      <c r="BV86" s="272"/>
      <c r="BW86" s="272"/>
      <c r="BX86" s="272"/>
      <c r="BY86" s="272"/>
      <c r="BZ86" s="272"/>
      <c r="CA86" s="272"/>
      <c r="CB86" s="272"/>
      <c r="CC86" s="272"/>
      <c r="CD86" s="272"/>
      <c r="CE86" s="272"/>
      <c r="CF86" s="272"/>
      <c r="CG86" s="272"/>
      <c r="CH86" s="272"/>
      <c r="CI86" s="272">
        <f t="shared" si="11"/>
        <v>22</v>
      </c>
      <c r="CJ86" s="272">
        <f t="shared" si="12"/>
        <v>22</v>
      </c>
      <c r="CK86" s="272">
        <f t="shared" si="13"/>
        <v>14</v>
      </c>
      <c r="CL86" s="272">
        <f t="shared" si="14"/>
        <v>8</v>
      </c>
      <c r="CM86" s="272">
        <f t="shared" si="15"/>
        <v>0</v>
      </c>
      <c r="CN86" s="272">
        <f t="shared" si="16"/>
        <v>0</v>
      </c>
      <c r="CO86" s="272">
        <f t="shared" si="17"/>
        <v>0</v>
      </c>
      <c r="CP86" s="272">
        <f t="shared" si="18"/>
        <v>0</v>
      </c>
      <c r="CQ86" s="272">
        <v>0</v>
      </c>
      <c r="CR86" s="272">
        <f t="shared" si="19"/>
        <v>0</v>
      </c>
      <c r="CS86" s="272">
        <f t="shared" si="20"/>
        <v>0</v>
      </c>
      <c r="CT86" s="272">
        <v>33</v>
      </c>
      <c r="CU86" s="272">
        <v>32</v>
      </c>
      <c r="CV86" s="272">
        <v>32</v>
      </c>
      <c r="CW86" s="272">
        <v>104</v>
      </c>
      <c r="CX86" s="272">
        <v>97</v>
      </c>
      <c r="CY86" s="272">
        <v>97</v>
      </c>
    </row>
    <row r="87" spans="1:103">
      <c r="A87" s="272" t="s">
        <v>94</v>
      </c>
      <c r="B87" s="272">
        <v>0</v>
      </c>
      <c r="C87" s="272">
        <v>0</v>
      </c>
      <c r="D87" s="272">
        <v>0</v>
      </c>
      <c r="E87" s="272">
        <v>0</v>
      </c>
      <c r="F87" s="272">
        <v>0</v>
      </c>
      <c r="G87" s="272">
        <v>0</v>
      </c>
      <c r="H87" s="272">
        <v>0</v>
      </c>
      <c r="I87" s="272">
        <v>0</v>
      </c>
      <c r="J87" s="272">
        <v>0</v>
      </c>
      <c r="K87" s="272">
        <v>0</v>
      </c>
      <c r="L87" s="272">
        <v>0</v>
      </c>
      <c r="M87" s="272">
        <v>0</v>
      </c>
      <c r="N87" s="272">
        <v>0</v>
      </c>
      <c r="O87" s="272">
        <v>0</v>
      </c>
      <c r="P87" s="272">
        <v>0</v>
      </c>
      <c r="Q87" s="272">
        <v>0</v>
      </c>
      <c r="R87" s="272">
        <v>0</v>
      </c>
      <c r="S87" s="272">
        <v>0</v>
      </c>
      <c r="T87" s="272">
        <v>0</v>
      </c>
      <c r="U87" s="272">
        <v>835</v>
      </c>
      <c r="V87" s="272">
        <v>237</v>
      </c>
      <c r="W87" s="272">
        <v>30</v>
      </c>
      <c r="X87" s="272">
        <v>4</v>
      </c>
      <c r="Y87" s="272">
        <v>0</v>
      </c>
      <c r="Z87" s="272">
        <v>0</v>
      </c>
      <c r="AA87" s="272">
        <v>38</v>
      </c>
      <c r="AB87" s="272">
        <v>12</v>
      </c>
      <c r="AC87" s="272">
        <v>2</v>
      </c>
      <c r="AD87" s="272">
        <v>0</v>
      </c>
      <c r="AE87" s="272">
        <v>0</v>
      </c>
      <c r="AF87" s="272">
        <v>0</v>
      </c>
      <c r="AG87" s="272">
        <v>0</v>
      </c>
      <c r="AH87" s="272">
        <v>0</v>
      </c>
      <c r="AI87" s="272">
        <v>0</v>
      </c>
      <c r="AJ87" s="272">
        <v>0</v>
      </c>
      <c r="AK87" s="272">
        <v>0</v>
      </c>
      <c r="AL87" s="272">
        <v>0</v>
      </c>
      <c r="AM87" s="272">
        <v>0</v>
      </c>
      <c r="AN87" s="272">
        <v>0</v>
      </c>
      <c r="AO87" s="272">
        <v>0</v>
      </c>
      <c r="AP87" s="272">
        <v>0</v>
      </c>
      <c r="AQ87" s="272">
        <v>0</v>
      </c>
      <c r="AR87" s="272">
        <v>0</v>
      </c>
      <c r="AS87" s="272">
        <v>0</v>
      </c>
      <c r="AT87" s="272">
        <v>0</v>
      </c>
      <c r="AU87" s="272">
        <v>0</v>
      </c>
      <c r="AV87" s="272">
        <v>0</v>
      </c>
      <c r="AW87" s="272">
        <v>0</v>
      </c>
      <c r="AX87" s="272">
        <v>0</v>
      </c>
      <c r="AY87" s="272">
        <v>0</v>
      </c>
      <c r="AZ87" s="272">
        <v>12</v>
      </c>
      <c r="BA87" s="272">
        <v>12</v>
      </c>
      <c r="BB87" s="272">
        <v>12</v>
      </c>
      <c r="BC87" s="272">
        <v>59</v>
      </c>
      <c r="BD87" s="272">
        <v>53</v>
      </c>
      <c r="BE87" s="272">
        <v>53</v>
      </c>
      <c r="BF87" s="272">
        <v>15</v>
      </c>
      <c r="BG87" s="272">
        <v>0</v>
      </c>
      <c r="BH87" s="272"/>
      <c r="BI87" s="272"/>
      <c r="BJ87" s="272"/>
      <c r="BK87" s="272"/>
      <c r="BL87" s="272"/>
      <c r="BM87" s="272"/>
      <c r="BN87" s="272"/>
      <c r="BO87" s="272"/>
      <c r="BP87" s="272"/>
      <c r="BQ87" s="272"/>
      <c r="BR87" s="272"/>
      <c r="BS87" s="272"/>
      <c r="BT87" s="272"/>
      <c r="BU87" s="272"/>
      <c r="BV87" s="272"/>
      <c r="BW87" s="272"/>
      <c r="BX87" s="272"/>
      <c r="BY87" s="272"/>
      <c r="BZ87" s="272"/>
      <c r="CA87" s="272"/>
      <c r="CB87" s="272"/>
      <c r="CC87" s="272"/>
      <c r="CD87" s="272"/>
      <c r="CE87" s="272"/>
      <c r="CF87" s="272"/>
      <c r="CG87" s="272"/>
      <c r="CH87" s="272"/>
      <c r="CI87" s="272">
        <f t="shared" si="11"/>
        <v>38</v>
      </c>
      <c r="CJ87" s="272">
        <f t="shared" si="12"/>
        <v>38</v>
      </c>
      <c r="CK87" s="272">
        <f t="shared" si="13"/>
        <v>26</v>
      </c>
      <c r="CL87" s="272">
        <f t="shared" si="14"/>
        <v>12</v>
      </c>
      <c r="CM87" s="272">
        <f t="shared" si="15"/>
        <v>0</v>
      </c>
      <c r="CN87" s="272">
        <f t="shared" si="16"/>
        <v>0</v>
      </c>
      <c r="CO87" s="272">
        <f t="shared" si="17"/>
        <v>0</v>
      </c>
      <c r="CP87" s="272">
        <f t="shared" si="18"/>
        <v>0</v>
      </c>
      <c r="CQ87" s="272">
        <v>0</v>
      </c>
      <c r="CR87" s="272">
        <f t="shared" si="19"/>
        <v>0</v>
      </c>
      <c r="CS87" s="272">
        <f t="shared" si="20"/>
        <v>0</v>
      </c>
      <c r="CT87" s="272">
        <v>33</v>
      </c>
      <c r="CU87" s="272">
        <v>33</v>
      </c>
      <c r="CV87" s="272">
        <v>33</v>
      </c>
      <c r="CW87" s="272">
        <v>104</v>
      </c>
      <c r="CX87" s="272">
        <v>98</v>
      </c>
      <c r="CY87" s="272">
        <v>98</v>
      </c>
    </row>
    <row r="88" spans="1:103">
      <c r="A88" s="272" t="s">
        <v>95</v>
      </c>
      <c r="B88" s="272">
        <v>0</v>
      </c>
      <c r="C88" s="272">
        <v>0</v>
      </c>
      <c r="D88" s="272">
        <v>1</v>
      </c>
      <c r="E88" s="272">
        <v>0</v>
      </c>
      <c r="F88" s="272">
        <v>0</v>
      </c>
      <c r="G88" s="272">
        <v>0</v>
      </c>
      <c r="H88" s="272">
        <v>0</v>
      </c>
      <c r="I88" s="272">
        <v>0</v>
      </c>
      <c r="J88" s="272">
        <v>0</v>
      </c>
      <c r="K88" s="272">
        <v>0</v>
      </c>
      <c r="L88" s="272">
        <v>0</v>
      </c>
      <c r="M88" s="272">
        <v>0</v>
      </c>
      <c r="N88" s="272">
        <v>0</v>
      </c>
      <c r="O88" s="272">
        <v>0</v>
      </c>
      <c r="P88" s="272">
        <v>0</v>
      </c>
      <c r="Q88" s="272">
        <v>0</v>
      </c>
      <c r="R88" s="272">
        <v>0</v>
      </c>
      <c r="S88" s="272">
        <v>0</v>
      </c>
      <c r="T88" s="272">
        <v>0</v>
      </c>
      <c r="U88" s="272">
        <v>759</v>
      </c>
      <c r="V88" s="272">
        <v>248</v>
      </c>
      <c r="W88" s="272">
        <v>23</v>
      </c>
      <c r="X88" s="272">
        <v>2</v>
      </c>
      <c r="Y88" s="272">
        <v>0</v>
      </c>
      <c r="Z88" s="272">
        <v>0</v>
      </c>
      <c r="AA88" s="272">
        <v>6</v>
      </c>
      <c r="AB88" s="272">
        <v>5</v>
      </c>
      <c r="AC88" s="272">
        <v>1</v>
      </c>
      <c r="AD88" s="272">
        <v>0</v>
      </c>
      <c r="AE88" s="272">
        <v>0</v>
      </c>
      <c r="AF88" s="272">
        <v>0</v>
      </c>
      <c r="AG88" s="272">
        <v>0</v>
      </c>
      <c r="AH88" s="272">
        <v>0</v>
      </c>
      <c r="AI88" s="272">
        <v>0</v>
      </c>
      <c r="AJ88" s="272">
        <v>0</v>
      </c>
      <c r="AK88" s="272">
        <v>0</v>
      </c>
      <c r="AL88" s="272">
        <v>0</v>
      </c>
      <c r="AM88" s="272">
        <v>0</v>
      </c>
      <c r="AN88" s="272">
        <v>0</v>
      </c>
      <c r="AO88" s="272">
        <v>0</v>
      </c>
      <c r="AP88" s="272">
        <v>0</v>
      </c>
      <c r="AQ88" s="272">
        <v>0</v>
      </c>
      <c r="AR88" s="272">
        <v>0</v>
      </c>
      <c r="AS88" s="272">
        <v>0</v>
      </c>
      <c r="AT88" s="272">
        <v>0</v>
      </c>
      <c r="AU88" s="272">
        <v>0</v>
      </c>
      <c r="AV88" s="272">
        <v>0</v>
      </c>
      <c r="AW88" s="272">
        <v>0</v>
      </c>
      <c r="AX88" s="272">
        <v>0</v>
      </c>
      <c r="AY88" s="272">
        <v>0</v>
      </c>
      <c r="AZ88" s="272">
        <v>12</v>
      </c>
      <c r="BA88" s="272">
        <v>12</v>
      </c>
      <c r="BB88" s="272">
        <v>12</v>
      </c>
      <c r="BC88" s="272">
        <v>59</v>
      </c>
      <c r="BD88" s="272">
        <v>43</v>
      </c>
      <c r="BE88" s="272">
        <v>43</v>
      </c>
      <c r="BF88" s="272">
        <v>40</v>
      </c>
      <c r="BG88" s="272">
        <v>0</v>
      </c>
      <c r="BH88" s="272"/>
      <c r="BI88" s="272"/>
      <c r="BJ88" s="272"/>
      <c r="BK88" s="272"/>
      <c r="BL88" s="272"/>
      <c r="BM88" s="272"/>
      <c r="BN88" s="272"/>
      <c r="BO88" s="272"/>
      <c r="BP88" s="272"/>
      <c r="BQ88" s="272"/>
      <c r="BR88" s="272"/>
      <c r="BS88" s="272"/>
      <c r="BT88" s="272"/>
      <c r="BU88" s="272"/>
      <c r="BV88" s="272"/>
      <c r="BW88" s="272"/>
      <c r="BX88" s="272"/>
      <c r="BY88" s="272"/>
      <c r="BZ88" s="272"/>
      <c r="CA88" s="272"/>
      <c r="CB88" s="272"/>
      <c r="CC88" s="272"/>
      <c r="CD88" s="272"/>
      <c r="CE88" s="272"/>
      <c r="CF88" s="272"/>
      <c r="CG88" s="272"/>
      <c r="CH88" s="272"/>
      <c r="CI88" s="272">
        <f t="shared" si="11"/>
        <v>6</v>
      </c>
      <c r="CJ88" s="272">
        <f t="shared" si="12"/>
        <v>6</v>
      </c>
      <c r="CK88" s="272">
        <f t="shared" si="13"/>
        <v>1</v>
      </c>
      <c r="CL88" s="272">
        <f t="shared" si="14"/>
        <v>5</v>
      </c>
      <c r="CM88" s="272">
        <f t="shared" si="15"/>
        <v>1</v>
      </c>
      <c r="CN88" s="272">
        <f t="shared" si="16"/>
        <v>1</v>
      </c>
      <c r="CO88" s="272">
        <f t="shared" si="17"/>
        <v>0</v>
      </c>
      <c r="CP88" s="272">
        <f t="shared" si="18"/>
        <v>0</v>
      </c>
      <c r="CQ88" s="272">
        <v>0</v>
      </c>
      <c r="CR88" s="272">
        <f t="shared" si="19"/>
        <v>0</v>
      </c>
      <c r="CS88" s="272">
        <f t="shared" si="20"/>
        <v>0</v>
      </c>
      <c r="CT88" s="272">
        <v>33</v>
      </c>
      <c r="CU88" s="272">
        <v>29</v>
      </c>
      <c r="CV88" s="272">
        <v>29</v>
      </c>
      <c r="CW88" s="272">
        <v>104</v>
      </c>
      <c r="CX88" s="272">
        <v>84</v>
      </c>
      <c r="CY88" s="272">
        <v>84</v>
      </c>
    </row>
    <row r="89" spans="1:103">
      <c r="A89" s="272" t="s">
        <v>96</v>
      </c>
      <c r="B89" s="272">
        <v>0</v>
      </c>
      <c r="C89" s="272">
        <v>0</v>
      </c>
      <c r="D89" s="272">
        <v>0</v>
      </c>
      <c r="E89" s="272">
        <v>0</v>
      </c>
      <c r="F89" s="272">
        <v>0</v>
      </c>
      <c r="G89" s="272">
        <v>0</v>
      </c>
      <c r="H89" s="272">
        <v>0</v>
      </c>
      <c r="I89" s="272">
        <v>0</v>
      </c>
      <c r="J89" s="272">
        <v>1</v>
      </c>
      <c r="K89" s="272">
        <v>0</v>
      </c>
      <c r="L89" s="272">
        <v>2</v>
      </c>
      <c r="M89" s="272">
        <v>0</v>
      </c>
      <c r="N89" s="272">
        <v>0</v>
      </c>
      <c r="O89" s="272">
        <v>0</v>
      </c>
      <c r="P89" s="272">
        <v>0</v>
      </c>
      <c r="Q89" s="272">
        <v>0</v>
      </c>
      <c r="R89" s="272">
        <v>0</v>
      </c>
      <c r="S89" s="272">
        <v>0</v>
      </c>
      <c r="T89" s="272">
        <v>0</v>
      </c>
      <c r="U89" s="272">
        <v>773</v>
      </c>
      <c r="V89" s="272">
        <v>214</v>
      </c>
      <c r="W89" s="272">
        <v>44</v>
      </c>
      <c r="X89" s="272">
        <v>3</v>
      </c>
      <c r="Y89" s="272">
        <v>0</v>
      </c>
      <c r="Z89" s="272">
        <v>0</v>
      </c>
      <c r="AA89" s="272">
        <v>18</v>
      </c>
      <c r="AB89" s="272">
        <v>5</v>
      </c>
      <c r="AC89" s="272">
        <v>1</v>
      </c>
      <c r="AD89" s="272">
        <v>0</v>
      </c>
      <c r="AE89" s="272">
        <v>0</v>
      </c>
      <c r="AF89" s="272">
        <v>0</v>
      </c>
      <c r="AG89" s="272">
        <v>0</v>
      </c>
      <c r="AH89" s="272">
        <v>0</v>
      </c>
      <c r="AI89" s="272">
        <v>0</v>
      </c>
      <c r="AJ89" s="272">
        <v>0</v>
      </c>
      <c r="AK89" s="272">
        <v>0</v>
      </c>
      <c r="AL89" s="272">
        <v>0</v>
      </c>
      <c r="AM89" s="272">
        <v>0</v>
      </c>
      <c r="AN89" s="272">
        <v>0</v>
      </c>
      <c r="AO89" s="272">
        <v>0</v>
      </c>
      <c r="AP89" s="272">
        <v>0</v>
      </c>
      <c r="AQ89" s="272">
        <v>0</v>
      </c>
      <c r="AR89" s="272">
        <v>0</v>
      </c>
      <c r="AS89" s="272">
        <v>0</v>
      </c>
      <c r="AT89" s="272">
        <v>0</v>
      </c>
      <c r="AU89" s="272">
        <v>0</v>
      </c>
      <c r="AV89" s="272">
        <v>0</v>
      </c>
      <c r="AW89" s="272">
        <v>0</v>
      </c>
      <c r="AX89" s="272">
        <v>0</v>
      </c>
      <c r="AY89" s="272">
        <v>0</v>
      </c>
      <c r="AZ89" s="272">
        <v>12</v>
      </c>
      <c r="BA89" s="272">
        <v>12</v>
      </c>
      <c r="BB89" s="272">
        <v>12</v>
      </c>
      <c r="BC89" s="272">
        <v>59</v>
      </c>
      <c r="BD89" s="272">
        <v>54</v>
      </c>
      <c r="BE89" s="272">
        <v>54</v>
      </c>
      <c r="BF89" s="272">
        <v>19</v>
      </c>
      <c r="BG89" s="272">
        <v>0</v>
      </c>
      <c r="BH89" s="272"/>
      <c r="BI89" s="272"/>
      <c r="BJ89" s="272"/>
      <c r="BK89" s="272"/>
      <c r="BL89" s="272"/>
      <c r="BM89" s="272"/>
      <c r="BN89" s="272"/>
      <c r="BO89" s="272"/>
      <c r="BP89" s="272"/>
      <c r="BQ89" s="272"/>
      <c r="BR89" s="272"/>
      <c r="BS89" s="272"/>
      <c r="BT89" s="272"/>
      <c r="BU89" s="272"/>
      <c r="BV89" s="272"/>
      <c r="BW89" s="272"/>
      <c r="BX89" s="272"/>
      <c r="BY89" s="272"/>
      <c r="BZ89" s="272"/>
      <c r="CA89" s="272"/>
      <c r="CB89" s="272"/>
      <c r="CC89" s="272"/>
      <c r="CD89" s="272"/>
      <c r="CE89" s="272"/>
      <c r="CF89" s="272"/>
      <c r="CG89" s="272"/>
      <c r="CH89" s="272"/>
      <c r="CI89" s="272">
        <f t="shared" si="11"/>
        <v>18</v>
      </c>
      <c r="CJ89" s="272">
        <f t="shared" si="12"/>
        <v>18</v>
      </c>
      <c r="CK89" s="272">
        <f t="shared" si="13"/>
        <v>13</v>
      </c>
      <c r="CL89" s="272">
        <f t="shared" si="14"/>
        <v>5</v>
      </c>
      <c r="CM89" s="272">
        <f t="shared" si="15"/>
        <v>0</v>
      </c>
      <c r="CN89" s="272">
        <f t="shared" si="16"/>
        <v>0</v>
      </c>
      <c r="CO89" s="272">
        <f t="shared" si="17"/>
        <v>2</v>
      </c>
      <c r="CP89" s="272">
        <f t="shared" si="18"/>
        <v>2</v>
      </c>
      <c r="CQ89" s="272">
        <v>0</v>
      </c>
      <c r="CR89" s="272">
        <f t="shared" si="19"/>
        <v>1</v>
      </c>
      <c r="CS89" s="272">
        <f t="shared" si="20"/>
        <v>1</v>
      </c>
      <c r="CT89" s="272">
        <v>33</v>
      </c>
      <c r="CU89" s="272">
        <v>31</v>
      </c>
      <c r="CV89" s="272">
        <v>31</v>
      </c>
      <c r="CW89" s="272">
        <v>104</v>
      </c>
      <c r="CX89" s="272">
        <v>97</v>
      </c>
      <c r="CY89" s="272">
        <v>97</v>
      </c>
    </row>
    <row r="90" spans="1:103">
      <c r="A90" s="272" t="s">
        <v>97</v>
      </c>
      <c r="B90" s="272">
        <v>0</v>
      </c>
      <c r="C90" s="272">
        <v>0</v>
      </c>
      <c r="D90" s="272">
        <v>0</v>
      </c>
      <c r="E90" s="272">
        <v>0</v>
      </c>
      <c r="F90" s="272">
        <v>0</v>
      </c>
      <c r="G90" s="272">
        <v>0</v>
      </c>
      <c r="H90" s="272">
        <v>0</v>
      </c>
      <c r="I90" s="272">
        <v>0</v>
      </c>
      <c r="J90" s="272">
        <v>0</v>
      </c>
      <c r="K90" s="272">
        <v>0</v>
      </c>
      <c r="L90" s="272">
        <v>0</v>
      </c>
      <c r="M90" s="272">
        <v>0</v>
      </c>
      <c r="N90" s="272">
        <v>0</v>
      </c>
      <c r="O90" s="272">
        <v>0</v>
      </c>
      <c r="P90" s="272">
        <v>0</v>
      </c>
      <c r="Q90" s="272">
        <v>0</v>
      </c>
      <c r="R90" s="272">
        <v>0</v>
      </c>
      <c r="S90" s="272">
        <v>0</v>
      </c>
      <c r="T90" s="272">
        <v>0</v>
      </c>
      <c r="U90" s="272">
        <v>693</v>
      </c>
      <c r="V90" s="272">
        <v>185</v>
      </c>
      <c r="W90" s="272">
        <v>26</v>
      </c>
      <c r="X90" s="272">
        <v>3</v>
      </c>
      <c r="Y90" s="272">
        <v>0</v>
      </c>
      <c r="Z90" s="272">
        <v>0</v>
      </c>
      <c r="AA90" s="272">
        <v>17</v>
      </c>
      <c r="AB90" s="272">
        <v>4</v>
      </c>
      <c r="AC90" s="272">
        <v>2</v>
      </c>
      <c r="AD90" s="272">
        <v>0</v>
      </c>
      <c r="AE90" s="272">
        <v>0</v>
      </c>
      <c r="AF90" s="272">
        <v>0</v>
      </c>
      <c r="AG90" s="272">
        <v>0</v>
      </c>
      <c r="AH90" s="272">
        <v>0</v>
      </c>
      <c r="AI90" s="272">
        <v>0</v>
      </c>
      <c r="AJ90" s="272">
        <v>0</v>
      </c>
      <c r="AK90" s="272">
        <v>0</v>
      </c>
      <c r="AL90" s="272">
        <v>0</v>
      </c>
      <c r="AM90" s="272">
        <v>0</v>
      </c>
      <c r="AN90" s="272">
        <v>0</v>
      </c>
      <c r="AO90" s="272">
        <v>0</v>
      </c>
      <c r="AP90" s="272">
        <v>0</v>
      </c>
      <c r="AQ90" s="272">
        <v>0</v>
      </c>
      <c r="AR90" s="272">
        <v>0</v>
      </c>
      <c r="AS90" s="272">
        <v>0</v>
      </c>
      <c r="AT90" s="272">
        <v>0</v>
      </c>
      <c r="AU90" s="272">
        <v>0</v>
      </c>
      <c r="AV90" s="272">
        <v>0</v>
      </c>
      <c r="AW90" s="272">
        <v>0</v>
      </c>
      <c r="AX90" s="272">
        <v>0</v>
      </c>
      <c r="AY90" s="272">
        <v>0</v>
      </c>
      <c r="AZ90" s="272">
        <v>12</v>
      </c>
      <c r="BA90" s="272">
        <v>12</v>
      </c>
      <c r="BB90" s="272">
        <v>12</v>
      </c>
      <c r="BC90" s="272">
        <v>59</v>
      </c>
      <c r="BD90" s="272">
        <v>52</v>
      </c>
      <c r="BE90" s="272">
        <v>52</v>
      </c>
      <c r="BF90" s="272">
        <v>39</v>
      </c>
      <c r="BG90" s="272">
        <v>0</v>
      </c>
      <c r="BH90" s="272"/>
      <c r="BI90" s="272"/>
      <c r="BJ90" s="272"/>
      <c r="BK90" s="272"/>
      <c r="BL90" s="272"/>
      <c r="BM90" s="272"/>
      <c r="BN90" s="272"/>
      <c r="BO90" s="272"/>
      <c r="BP90" s="272"/>
      <c r="BQ90" s="272"/>
      <c r="BR90" s="272"/>
      <c r="BS90" s="272"/>
      <c r="BT90" s="272"/>
      <c r="BU90" s="272"/>
      <c r="BV90" s="272"/>
      <c r="BW90" s="272"/>
      <c r="BX90" s="272"/>
      <c r="BY90" s="272"/>
      <c r="BZ90" s="272"/>
      <c r="CA90" s="272"/>
      <c r="CB90" s="272"/>
      <c r="CC90" s="272"/>
      <c r="CD90" s="272"/>
      <c r="CE90" s="272"/>
      <c r="CF90" s="272"/>
      <c r="CG90" s="272"/>
      <c r="CH90" s="272"/>
      <c r="CI90" s="272">
        <f t="shared" si="11"/>
        <v>17</v>
      </c>
      <c r="CJ90" s="272">
        <f t="shared" si="12"/>
        <v>17</v>
      </c>
      <c r="CK90" s="272">
        <f t="shared" si="13"/>
        <v>13</v>
      </c>
      <c r="CL90" s="272">
        <f t="shared" si="14"/>
        <v>4</v>
      </c>
      <c r="CM90" s="272">
        <f t="shared" si="15"/>
        <v>0</v>
      </c>
      <c r="CN90" s="272">
        <f t="shared" si="16"/>
        <v>0</v>
      </c>
      <c r="CO90" s="272">
        <f t="shared" si="17"/>
        <v>0</v>
      </c>
      <c r="CP90" s="272">
        <f t="shared" si="18"/>
        <v>0</v>
      </c>
      <c r="CQ90" s="272">
        <v>0</v>
      </c>
      <c r="CR90" s="272">
        <f t="shared" si="19"/>
        <v>0</v>
      </c>
      <c r="CS90" s="272">
        <f t="shared" si="20"/>
        <v>0</v>
      </c>
      <c r="CT90" s="272">
        <v>33</v>
      </c>
      <c r="CU90" s="272">
        <v>32</v>
      </c>
      <c r="CV90" s="272">
        <v>32</v>
      </c>
      <c r="CW90" s="272">
        <v>104</v>
      </c>
      <c r="CX90" s="272">
        <v>96</v>
      </c>
      <c r="CY90" s="272">
        <v>96</v>
      </c>
    </row>
    <row r="91" spans="1:103">
      <c r="A91" s="272" t="s">
        <v>98</v>
      </c>
      <c r="B91" s="272">
        <v>0</v>
      </c>
      <c r="C91" s="272">
        <v>0</v>
      </c>
      <c r="D91" s="272">
        <v>0</v>
      </c>
      <c r="E91" s="272">
        <v>0</v>
      </c>
      <c r="F91" s="272">
        <v>0</v>
      </c>
      <c r="G91" s="272">
        <v>0</v>
      </c>
      <c r="H91" s="272">
        <v>0</v>
      </c>
      <c r="I91" s="272">
        <v>0</v>
      </c>
      <c r="J91" s="272">
        <v>0</v>
      </c>
      <c r="K91" s="272">
        <v>0</v>
      </c>
      <c r="L91" s="272">
        <v>1</v>
      </c>
      <c r="M91" s="272">
        <v>0</v>
      </c>
      <c r="N91" s="272">
        <v>0</v>
      </c>
      <c r="O91" s="272">
        <v>0</v>
      </c>
      <c r="P91" s="272">
        <v>0</v>
      </c>
      <c r="Q91" s="272">
        <v>0</v>
      </c>
      <c r="R91" s="272">
        <v>0</v>
      </c>
      <c r="S91" s="272">
        <v>0</v>
      </c>
      <c r="T91" s="272">
        <v>0</v>
      </c>
      <c r="U91" s="272">
        <v>668</v>
      </c>
      <c r="V91" s="272">
        <v>190</v>
      </c>
      <c r="W91" s="272">
        <v>35</v>
      </c>
      <c r="X91" s="272">
        <v>3</v>
      </c>
      <c r="Y91" s="272">
        <v>0</v>
      </c>
      <c r="Z91" s="272">
        <v>0</v>
      </c>
      <c r="AA91" s="272">
        <v>20</v>
      </c>
      <c r="AB91" s="272">
        <v>8</v>
      </c>
      <c r="AC91" s="272">
        <v>1</v>
      </c>
      <c r="AD91" s="272">
        <v>0</v>
      </c>
      <c r="AE91" s="272">
        <v>0</v>
      </c>
      <c r="AF91" s="272">
        <v>0</v>
      </c>
      <c r="AG91" s="272">
        <v>0</v>
      </c>
      <c r="AH91" s="272">
        <v>0</v>
      </c>
      <c r="AI91" s="272">
        <v>0</v>
      </c>
      <c r="AJ91" s="272">
        <v>0</v>
      </c>
      <c r="AK91" s="272">
        <v>0</v>
      </c>
      <c r="AL91" s="272">
        <v>0</v>
      </c>
      <c r="AM91" s="272">
        <v>0</v>
      </c>
      <c r="AN91" s="272">
        <v>0</v>
      </c>
      <c r="AO91" s="272">
        <v>0</v>
      </c>
      <c r="AP91" s="272">
        <v>0</v>
      </c>
      <c r="AQ91" s="272">
        <v>0</v>
      </c>
      <c r="AR91" s="272">
        <v>0</v>
      </c>
      <c r="AS91" s="272">
        <v>0</v>
      </c>
      <c r="AT91" s="272">
        <v>0</v>
      </c>
      <c r="AU91" s="272">
        <v>0</v>
      </c>
      <c r="AV91" s="272">
        <v>0</v>
      </c>
      <c r="AW91" s="272">
        <v>0</v>
      </c>
      <c r="AX91" s="272">
        <v>0</v>
      </c>
      <c r="AY91" s="272">
        <v>0</v>
      </c>
      <c r="AZ91" s="272">
        <v>12</v>
      </c>
      <c r="BA91" s="272">
        <v>12</v>
      </c>
      <c r="BB91" s="272">
        <v>12</v>
      </c>
      <c r="BC91" s="272">
        <v>59</v>
      </c>
      <c r="BD91" s="272">
        <v>52</v>
      </c>
      <c r="BE91" s="272">
        <v>52</v>
      </c>
      <c r="BF91" s="272">
        <v>28</v>
      </c>
      <c r="BG91" s="272">
        <v>0</v>
      </c>
      <c r="BH91" s="272"/>
      <c r="BI91" s="272"/>
      <c r="BJ91" s="272"/>
      <c r="BK91" s="272"/>
      <c r="BL91" s="272"/>
      <c r="BM91" s="272"/>
      <c r="BN91" s="272"/>
      <c r="BO91" s="272"/>
      <c r="BP91" s="272"/>
      <c r="BQ91" s="272"/>
      <c r="BR91" s="272"/>
      <c r="BS91" s="272"/>
      <c r="BT91" s="272"/>
      <c r="BU91" s="272"/>
      <c r="BV91" s="272"/>
      <c r="BW91" s="272"/>
      <c r="BX91" s="272"/>
      <c r="BY91" s="272"/>
      <c r="BZ91" s="272"/>
      <c r="CA91" s="272"/>
      <c r="CB91" s="272"/>
      <c r="CC91" s="272"/>
      <c r="CD91" s="272"/>
      <c r="CE91" s="272"/>
      <c r="CF91" s="272"/>
      <c r="CG91" s="272"/>
      <c r="CH91" s="272"/>
      <c r="CI91" s="272">
        <f t="shared" si="11"/>
        <v>20</v>
      </c>
      <c r="CJ91" s="272">
        <f t="shared" si="12"/>
        <v>20</v>
      </c>
      <c r="CK91" s="272">
        <f t="shared" si="13"/>
        <v>12</v>
      </c>
      <c r="CL91" s="272">
        <f t="shared" si="14"/>
        <v>8</v>
      </c>
      <c r="CM91" s="272">
        <f t="shared" si="15"/>
        <v>0</v>
      </c>
      <c r="CN91" s="272">
        <f t="shared" si="16"/>
        <v>0</v>
      </c>
      <c r="CO91" s="272">
        <f t="shared" si="17"/>
        <v>1</v>
      </c>
      <c r="CP91" s="272">
        <f t="shared" si="18"/>
        <v>1</v>
      </c>
      <c r="CQ91" s="272">
        <v>0</v>
      </c>
      <c r="CR91" s="272">
        <f t="shared" si="19"/>
        <v>0</v>
      </c>
      <c r="CS91" s="272">
        <f t="shared" si="20"/>
        <v>0</v>
      </c>
      <c r="CT91" s="272">
        <v>33</v>
      </c>
      <c r="CU91" s="272">
        <v>31</v>
      </c>
      <c r="CV91" s="272">
        <v>30</v>
      </c>
      <c r="CW91" s="272">
        <v>104</v>
      </c>
      <c r="CX91" s="272">
        <v>95</v>
      </c>
      <c r="CY91" s="272">
        <v>94</v>
      </c>
    </row>
    <row r="92" spans="1:103">
      <c r="A92" s="272" t="s">
        <v>99</v>
      </c>
      <c r="B92" s="272">
        <v>0</v>
      </c>
      <c r="C92" s="272">
        <v>0</v>
      </c>
      <c r="D92" s="272">
        <v>0</v>
      </c>
      <c r="E92" s="272">
        <v>0</v>
      </c>
      <c r="F92" s="272">
        <v>0</v>
      </c>
      <c r="G92" s="272">
        <v>0</v>
      </c>
      <c r="H92" s="272">
        <v>0</v>
      </c>
      <c r="I92" s="272">
        <v>0</v>
      </c>
      <c r="J92" s="272">
        <v>0</v>
      </c>
      <c r="K92" s="272">
        <v>0</v>
      </c>
      <c r="L92" s="272">
        <v>1</v>
      </c>
      <c r="M92" s="272">
        <v>0</v>
      </c>
      <c r="N92" s="272">
        <v>0</v>
      </c>
      <c r="O92" s="272">
        <v>0</v>
      </c>
      <c r="P92" s="272">
        <v>0</v>
      </c>
      <c r="Q92" s="272">
        <v>0</v>
      </c>
      <c r="R92" s="272">
        <v>0</v>
      </c>
      <c r="S92" s="272">
        <v>0</v>
      </c>
      <c r="T92" s="272">
        <v>0</v>
      </c>
      <c r="U92" s="272">
        <v>712</v>
      </c>
      <c r="V92" s="272">
        <v>213</v>
      </c>
      <c r="W92" s="272">
        <v>37</v>
      </c>
      <c r="X92" s="272">
        <v>3</v>
      </c>
      <c r="Y92" s="272">
        <v>0</v>
      </c>
      <c r="Z92" s="272">
        <v>0</v>
      </c>
      <c r="AA92" s="272">
        <v>35</v>
      </c>
      <c r="AB92" s="272">
        <v>13</v>
      </c>
      <c r="AC92" s="272">
        <v>3</v>
      </c>
      <c r="AD92" s="272">
        <v>0</v>
      </c>
      <c r="AE92" s="272">
        <v>0</v>
      </c>
      <c r="AF92" s="272">
        <v>0</v>
      </c>
      <c r="AG92" s="272">
        <v>0</v>
      </c>
      <c r="AH92" s="272">
        <v>0</v>
      </c>
      <c r="AI92" s="272">
        <v>0</v>
      </c>
      <c r="AJ92" s="272">
        <v>0</v>
      </c>
      <c r="AK92" s="272">
        <v>0</v>
      </c>
      <c r="AL92" s="272">
        <v>0</v>
      </c>
      <c r="AM92" s="272">
        <v>0</v>
      </c>
      <c r="AN92" s="272">
        <v>0</v>
      </c>
      <c r="AO92" s="272">
        <v>0</v>
      </c>
      <c r="AP92" s="272">
        <v>0</v>
      </c>
      <c r="AQ92" s="272">
        <v>0</v>
      </c>
      <c r="AR92" s="272">
        <v>0</v>
      </c>
      <c r="AS92" s="272">
        <v>0</v>
      </c>
      <c r="AT92" s="272">
        <v>0</v>
      </c>
      <c r="AU92" s="272">
        <v>0</v>
      </c>
      <c r="AV92" s="272">
        <v>0</v>
      </c>
      <c r="AW92" s="272">
        <v>0</v>
      </c>
      <c r="AX92" s="272">
        <v>0</v>
      </c>
      <c r="AY92" s="272">
        <v>0</v>
      </c>
      <c r="AZ92" s="272">
        <v>12</v>
      </c>
      <c r="BA92" s="272">
        <v>12</v>
      </c>
      <c r="BB92" s="272">
        <v>12</v>
      </c>
      <c r="BC92" s="272">
        <v>59</v>
      </c>
      <c r="BD92" s="272">
        <v>54</v>
      </c>
      <c r="BE92" s="272">
        <v>54</v>
      </c>
      <c r="BF92" s="272">
        <v>17</v>
      </c>
      <c r="BG92" s="272">
        <v>0</v>
      </c>
      <c r="BH92" s="272"/>
      <c r="BI92" s="272"/>
      <c r="BJ92" s="272"/>
      <c r="BK92" s="272"/>
      <c r="BL92" s="272"/>
      <c r="BM92" s="272"/>
      <c r="BN92" s="272"/>
      <c r="BO92" s="272"/>
      <c r="BP92" s="272"/>
      <c r="BQ92" s="272"/>
      <c r="BR92" s="272"/>
      <c r="BS92" s="272"/>
      <c r="BT92" s="272"/>
      <c r="BU92" s="272"/>
      <c r="BV92" s="272"/>
      <c r="BW92" s="272"/>
      <c r="BX92" s="272"/>
      <c r="BY92" s="272"/>
      <c r="BZ92" s="272"/>
      <c r="CA92" s="272"/>
      <c r="CB92" s="272"/>
      <c r="CC92" s="272"/>
      <c r="CD92" s="272"/>
      <c r="CE92" s="272"/>
      <c r="CF92" s="272"/>
      <c r="CG92" s="272"/>
      <c r="CH92" s="272"/>
      <c r="CI92" s="272">
        <f t="shared" si="11"/>
        <v>35</v>
      </c>
      <c r="CJ92" s="272">
        <f t="shared" si="12"/>
        <v>35</v>
      </c>
      <c r="CK92" s="272">
        <f t="shared" si="13"/>
        <v>22</v>
      </c>
      <c r="CL92" s="272">
        <f t="shared" si="14"/>
        <v>13</v>
      </c>
      <c r="CM92" s="272">
        <f t="shared" si="15"/>
        <v>0</v>
      </c>
      <c r="CN92" s="272">
        <f t="shared" si="16"/>
        <v>0</v>
      </c>
      <c r="CO92" s="272">
        <f t="shared" si="17"/>
        <v>1</v>
      </c>
      <c r="CP92" s="272">
        <f t="shared" si="18"/>
        <v>1</v>
      </c>
      <c r="CQ92" s="272">
        <v>0</v>
      </c>
      <c r="CR92" s="272">
        <f t="shared" si="19"/>
        <v>0</v>
      </c>
      <c r="CS92" s="272">
        <f t="shared" si="20"/>
        <v>0</v>
      </c>
      <c r="CT92" s="272">
        <v>33</v>
      </c>
      <c r="CU92" s="272">
        <v>31</v>
      </c>
      <c r="CV92" s="272">
        <v>31</v>
      </c>
      <c r="CW92" s="272">
        <v>104</v>
      </c>
      <c r="CX92" s="272">
        <v>97</v>
      </c>
      <c r="CY92" s="272">
        <v>97</v>
      </c>
    </row>
    <row r="93" spans="1:103">
      <c r="A93" s="272" t="s">
        <v>100</v>
      </c>
      <c r="B93" s="272">
        <v>0</v>
      </c>
      <c r="C93" s="272">
        <v>0</v>
      </c>
      <c r="D93" s="272">
        <v>1</v>
      </c>
      <c r="E93" s="272">
        <v>0</v>
      </c>
      <c r="F93" s="272">
        <v>0</v>
      </c>
      <c r="G93" s="272">
        <v>0</v>
      </c>
      <c r="H93" s="272">
        <v>0</v>
      </c>
      <c r="I93" s="272">
        <v>0</v>
      </c>
      <c r="J93" s="272">
        <v>0</v>
      </c>
      <c r="K93" s="272">
        <v>0</v>
      </c>
      <c r="L93" s="272">
        <v>1</v>
      </c>
      <c r="M93" s="272">
        <v>0</v>
      </c>
      <c r="N93" s="272">
        <v>0</v>
      </c>
      <c r="O93" s="272">
        <v>0</v>
      </c>
      <c r="P93" s="272">
        <v>0</v>
      </c>
      <c r="Q93" s="272">
        <v>0</v>
      </c>
      <c r="R93" s="272">
        <v>0</v>
      </c>
      <c r="S93" s="272">
        <v>0</v>
      </c>
      <c r="T93" s="272">
        <v>0</v>
      </c>
      <c r="U93" s="272">
        <v>695</v>
      </c>
      <c r="V93" s="272">
        <v>177</v>
      </c>
      <c r="W93" s="272">
        <v>39</v>
      </c>
      <c r="X93" s="272">
        <v>5</v>
      </c>
      <c r="Y93" s="272">
        <v>0</v>
      </c>
      <c r="Z93" s="272">
        <v>0</v>
      </c>
      <c r="AA93" s="272">
        <v>19</v>
      </c>
      <c r="AB93" s="272">
        <v>11</v>
      </c>
      <c r="AC93" s="272">
        <v>1</v>
      </c>
      <c r="AD93" s="272">
        <v>0</v>
      </c>
      <c r="AE93" s="272">
        <v>0</v>
      </c>
      <c r="AF93" s="272">
        <v>0</v>
      </c>
      <c r="AG93" s="272">
        <v>1</v>
      </c>
      <c r="AH93" s="272">
        <v>0</v>
      </c>
      <c r="AI93" s="272">
        <v>0</v>
      </c>
      <c r="AJ93" s="272">
        <v>0</v>
      </c>
      <c r="AK93" s="272">
        <v>0</v>
      </c>
      <c r="AL93" s="272">
        <v>0</v>
      </c>
      <c r="AM93" s="272">
        <v>0</v>
      </c>
      <c r="AN93" s="272">
        <v>0</v>
      </c>
      <c r="AO93" s="272">
        <v>0</v>
      </c>
      <c r="AP93" s="272">
        <v>0</v>
      </c>
      <c r="AQ93" s="272">
        <v>0</v>
      </c>
      <c r="AR93" s="272">
        <v>0</v>
      </c>
      <c r="AS93" s="272">
        <v>0</v>
      </c>
      <c r="AT93" s="272">
        <v>0</v>
      </c>
      <c r="AU93" s="272">
        <v>0</v>
      </c>
      <c r="AV93" s="272">
        <v>0</v>
      </c>
      <c r="AW93" s="272">
        <v>0</v>
      </c>
      <c r="AX93" s="272">
        <v>0</v>
      </c>
      <c r="AY93" s="272">
        <v>0</v>
      </c>
      <c r="AZ93" s="272">
        <v>12</v>
      </c>
      <c r="BA93" s="272">
        <v>12</v>
      </c>
      <c r="BB93" s="272">
        <v>12</v>
      </c>
      <c r="BC93" s="272">
        <v>59</v>
      </c>
      <c r="BD93" s="272">
        <v>53</v>
      </c>
      <c r="BE93" s="272">
        <v>48</v>
      </c>
      <c r="BF93" s="272">
        <v>19</v>
      </c>
      <c r="BG93" s="272">
        <v>0</v>
      </c>
      <c r="BH93" s="272"/>
      <c r="BI93" s="272"/>
      <c r="BJ93" s="272"/>
      <c r="BK93" s="272"/>
      <c r="BL93" s="272"/>
      <c r="BM93" s="272"/>
      <c r="BN93" s="272"/>
      <c r="BO93" s="272"/>
      <c r="BP93" s="272"/>
      <c r="BQ93" s="272"/>
      <c r="BR93" s="272"/>
      <c r="BS93" s="272"/>
      <c r="BT93" s="272"/>
      <c r="BU93" s="272"/>
      <c r="BV93" s="272"/>
      <c r="BW93" s="272"/>
      <c r="BX93" s="272"/>
      <c r="BY93" s="272"/>
      <c r="BZ93" s="272"/>
      <c r="CA93" s="272"/>
      <c r="CB93" s="272"/>
      <c r="CC93" s="272"/>
      <c r="CD93" s="272"/>
      <c r="CE93" s="272"/>
      <c r="CF93" s="272"/>
      <c r="CG93" s="272"/>
      <c r="CH93" s="272"/>
      <c r="CI93" s="272">
        <f t="shared" si="11"/>
        <v>19</v>
      </c>
      <c r="CJ93" s="272">
        <f t="shared" si="12"/>
        <v>19</v>
      </c>
      <c r="CK93" s="272">
        <f t="shared" si="13"/>
        <v>8</v>
      </c>
      <c r="CL93" s="272">
        <f t="shared" si="14"/>
        <v>11</v>
      </c>
      <c r="CM93" s="272">
        <f t="shared" si="15"/>
        <v>1</v>
      </c>
      <c r="CN93" s="272">
        <f t="shared" si="16"/>
        <v>1</v>
      </c>
      <c r="CO93" s="272">
        <f t="shared" si="17"/>
        <v>1</v>
      </c>
      <c r="CP93" s="272">
        <f t="shared" si="18"/>
        <v>1</v>
      </c>
      <c r="CQ93" s="272">
        <v>0</v>
      </c>
      <c r="CR93" s="272">
        <f t="shared" si="19"/>
        <v>0</v>
      </c>
      <c r="CS93" s="272">
        <f t="shared" si="20"/>
        <v>0</v>
      </c>
      <c r="CT93" s="272">
        <v>33</v>
      </c>
      <c r="CU93" s="272">
        <v>32</v>
      </c>
      <c r="CV93" s="272">
        <v>32</v>
      </c>
      <c r="CW93" s="272">
        <v>104</v>
      </c>
      <c r="CX93" s="272">
        <v>97</v>
      </c>
      <c r="CY93" s="272">
        <v>92</v>
      </c>
    </row>
    <row r="94" spans="1:103">
      <c r="A94" s="272" t="s">
        <v>101</v>
      </c>
      <c r="B94" s="272">
        <v>0</v>
      </c>
      <c r="C94" s="272">
        <v>0</v>
      </c>
      <c r="D94" s="272">
        <v>0</v>
      </c>
      <c r="E94" s="272">
        <v>0</v>
      </c>
      <c r="F94" s="272">
        <v>0</v>
      </c>
      <c r="G94" s="272">
        <v>0</v>
      </c>
      <c r="H94" s="272">
        <v>0</v>
      </c>
      <c r="I94" s="272">
        <v>0</v>
      </c>
      <c r="J94" s="272">
        <v>0</v>
      </c>
      <c r="K94" s="272">
        <v>0</v>
      </c>
      <c r="L94" s="272">
        <v>0</v>
      </c>
      <c r="M94" s="272">
        <v>0</v>
      </c>
      <c r="N94" s="272">
        <v>0</v>
      </c>
      <c r="O94" s="272">
        <v>0</v>
      </c>
      <c r="P94" s="272">
        <v>0</v>
      </c>
      <c r="Q94" s="272">
        <v>0</v>
      </c>
      <c r="R94" s="272">
        <v>0</v>
      </c>
      <c r="S94" s="272">
        <v>0</v>
      </c>
      <c r="T94" s="272">
        <v>0</v>
      </c>
      <c r="U94" s="272">
        <v>734</v>
      </c>
      <c r="V94" s="272">
        <v>206</v>
      </c>
      <c r="W94" s="272">
        <v>52</v>
      </c>
      <c r="X94" s="272">
        <v>2</v>
      </c>
      <c r="Y94" s="272">
        <v>0</v>
      </c>
      <c r="Z94" s="272">
        <v>0</v>
      </c>
      <c r="AA94" s="272">
        <v>22</v>
      </c>
      <c r="AB94" s="272">
        <v>13</v>
      </c>
      <c r="AC94" s="272">
        <v>3</v>
      </c>
      <c r="AD94" s="272">
        <v>0</v>
      </c>
      <c r="AE94" s="272">
        <v>0</v>
      </c>
      <c r="AF94" s="272">
        <v>0</v>
      </c>
      <c r="AG94" s="272">
        <v>0</v>
      </c>
      <c r="AH94" s="272">
        <v>0</v>
      </c>
      <c r="AI94" s="272">
        <v>0</v>
      </c>
      <c r="AJ94" s="272">
        <v>0</v>
      </c>
      <c r="AK94" s="272">
        <v>0</v>
      </c>
      <c r="AL94" s="272">
        <v>0</v>
      </c>
      <c r="AM94" s="272">
        <v>0</v>
      </c>
      <c r="AN94" s="272">
        <v>0</v>
      </c>
      <c r="AO94" s="272">
        <v>0</v>
      </c>
      <c r="AP94" s="272">
        <v>0</v>
      </c>
      <c r="AQ94" s="272">
        <v>0</v>
      </c>
      <c r="AR94" s="272">
        <v>0</v>
      </c>
      <c r="AS94" s="272">
        <v>0</v>
      </c>
      <c r="AT94" s="272">
        <v>0</v>
      </c>
      <c r="AU94" s="272">
        <v>0</v>
      </c>
      <c r="AV94" s="272">
        <v>0</v>
      </c>
      <c r="AW94" s="272">
        <v>0</v>
      </c>
      <c r="AX94" s="272">
        <v>0</v>
      </c>
      <c r="AY94" s="272">
        <v>0</v>
      </c>
      <c r="AZ94" s="272">
        <v>12</v>
      </c>
      <c r="BA94" s="272">
        <v>12</v>
      </c>
      <c r="BB94" s="272">
        <v>12</v>
      </c>
      <c r="BC94" s="272">
        <v>59</v>
      </c>
      <c r="BD94" s="272">
        <v>56</v>
      </c>
      <c r="BE94" s="272">
        <v>50</v>
      </c>
      <c r="BF94" s="272">
        <v>28</v>
      </c>
      <c r="BG94" s="272">
        <v>0</v>
      </c>
      <c r="BH94" s="272"/>
      <c r="BI94" s="272"/>
      <c r="BJ94" s="272"/>
      <c r="BK94" s="272"/>
      <c r="BL94" s="272"/>
      <c r="BM94" s="272"/>
      <c r="BN94" s="272"/>
      <c r="BO94" s="272"/>
      <c r="BP94" s="272"/>
      <c r="BQ94" s="272"/>
      <c r="BR94" s="272"/>
      <c r="BS94" s="272"/>
      <c r="BT94" s="272"/>
      <c r="BU94" s="272"/>
      <c r="BV94" s="272"/>
      <c r="BW94" s="272"/>
      <c r="BX94" s="272"/>
      <c r="BY94" s="272"/>
      <c r="BZ94" s="272"/>
      <c r="CA94" s="272"/>
      <c r="CB94" s="272"/>
      <c r="CC94" s="272"/>
      <c r="CD94" s="272"/>
      <c r="CE94" s="272"/>
      <c r="CF94" s="272"/>
      <c r="CG94" s="272"/>
      <c r="CH94" s="272"/>
      <c r="CI94" s="272">
        <f t="shared" si="11"/>
        <v>22</v>
      </c>
      <c r="CJ94" s="272">
        <f t="shared" si="12"/>
        <v>22</v>
      </c>
      <c r="CK94" s="272">
        <f t="shared" si="13"/>
        <v>9</v>
      </c>
      <c r="CL94" s="272">
        <f t="shared" si="14"/>
        <v>13</v>
      </c>
      <c r="CM94" s="272">
        <f t="shared" si="15"/>
        <v>0</v>
      </c>
      <c r="CN94" s="272">
        <f t="shared" si="16"/>
        <v>0</v>
      </c>
      <c r="CO94" s="272">
        <f t="shared" si="17"/>
        <v>0</v>
      </c>
      <c r="CP94" s="272">
        <f t="shared" si="18"/>
        <v>0</v>
      </c>
      <c r="CQ94" s="272">
        <v>0</v>
      </c>
      <c r="CR94" s="272">
        <f t="shared" si="19"/>
        <v>0</v>
      </c>
      <c r="CS94" s="272">
        <f t="shared" si="20"/>
        <v>0</v>
      </c>
      <c r="CT94" s="272">
        <v>33</v>
      </c>
      <c r="CU94" s="272">
        <v>31</v>
      </c>
      <c r="CV94" s="272">
        <v>28</v>
      </c>
      <c r="CW94" s="272">
        <v>104</v>
      </c>
      <c r="CX94" s="272">
        <v>99</v>
      </c>
      <c r="CY94" s="272">
        <v>90</v>
      </c>
    </row>
    <row r="95" spans="1:103">
      <c r="A95" s="272" t="s">
        <v>102</v>
      </c>
      <c r="B95" s="272">
        <v>0</v>
      </c>
      <c r="C95" s="272">
        <v>0</v>
      </c>
      <c r="D95" s="272">
        <v>0</v>
      </c>
      <c r="E95" s="272">
        <v>0</v>
      </c>
      <c r="F95" s="272">
        <v>1</v>
      </c>
      <c r="G95" s="272">
        <v>0</v>
      </c>
      <c r="H95" s="272">
        <v>0</v>
      </c>
      <c r="I95" s="272">
        <v>0</v>
      </c>
      <c r="J95" s="272">
        <v>0</v>
      </c>
      <c r="K95" s="272">
        <v>0</v>
      </c>
      <c r="L95" s="272">
        <v>2</v>
      </c>
      <c r="M95" s="272">
        <v>0</v>
      </c>
      <c r="N95" s="272">
        <v>0</v>
      </c>
      <c r="O95" s="272">
        <v>0</v>
      </c>
      <c r="P95" s="272">
        <v>0</v>
      </c>
      <c r="Q95" s="272">
        <v>0</v>
      </c>
      <c r="R95" s="272">
        <v>0</v>
      </c>
      <c r="S95" s="272">
        <v>0</v>
      </c>
      <c r="T95" s="272">
        <v>0</v>
      </c>
      <c r="U95" s="272">
        <v>744</v>
      </c>
      <c r="V95" s="272">
        <v>177</v>
      </c>
      <c r="W95" s="272">
        <v>38</v>
      </c>
      <c r="X95" s="272">
        <v>4</v>
      </c>
      <c r="Y95" s="272">
        <v>0</v>
      </c>
      <c r="Z95" s="272">
        <v>0</v>
      </c>
      <c r="AA95" s="272">
        <v>21</v>
      </c>
      <c r="AB95" s="272">
        <v>9</v>
      </c>
      <c r="AC95" s="272">
        <v>1</v>
      </c>
      <c r="AD95" s="272">
        <v>0</v>
      </c>
      <c r="AE95" s="272">
        <v>0</v>
      </c>
      <c r="AF95" s="272">
        <v>0</v>
      </c>
      <c r="AG95" s="272">
        <v>0</v>
      </c>
      <c r="AH95" s="272">
        <v>0</v>
      </c>
      <c r="AI95" s="272">
        <v>1</v>
      </c>
      <c r="AJ95" s="272">
        <v>0</v>
      </c>
      <c r="AK95" s="272">
        <v>0</v>
      </c>
      <c r="AL95" s="272">
        <v>0</v>
      </c>
      <c r="AM95" s="272">
        <v>0</v>
      </c>
      <c r="AN95" s="272">
        <v>0</v>
      </c>
      <c r="AO95" s="272">
        <v>0</v>
      </c>
      <c r="AP95" s="272">
        <v>0</v>
      </c>
      <c r="AQ95" s="272">
        <v>0</v>
      </c>
      <c r="AR95" s="272">
        <v>0</v>
      </c>
      <c r="AS95" s="272">
        <v>0</v>
      </c>
      <c r="AT95" s="272">
        <v>0</v>
      </c>
      <c r="AU95" s="272">
        <v>0</v>
      </c>
      <c r="AV95" s="272">
        <v>0</v>
      </c>
      <c r="AW95" s="272">
        <v>0</v>
      </c>
      <c r="AX95" s="272">
        <v>0</v>
      </c>
      <c r="AY95" s="272">
        <v>0</v>
      </c>
      <c r="AZ95" s="272">
        <v>12</v>
      </c>
      <c r="BA95" s="272">
        <v>12</v>
      </c>
      <c r="BB95" s="272">
        <v>12</v>
      </c>
      <c r="BC95" s="272">
        <v>59</v>
      </c>
      <c r="BD95" s="272">
        <v>53</v>
      </c>
      <c r="BE95" s="272">
        <v>53</v>
      </c>
      <c r="BF95" s="272">
        <v>27</v>
      </c>
      <c r="BG95" s="272">
        <v>0</v>
      </c>
      <c r="BH95" s="272"/>
      <c r="BI95" s="272"/>
      <c r="BJ95" s="272"/>
      <c r="BK95" s="272"/>
      <c r="BL95" s="272"/>
      <c r="BM95" s="272"/>
      <c r="BN95" s="272"/>
      <c r="BO95" s="272"/>
      <c r="BP95" s="272"/>
      <c r="BQ95" s="272"/>
      <c r="BR95" s="272"/>
      <c r="BS95" s="272"/>
      <c r="BT95" s="272"/>
      <c r="BU95" s="272"/>
      <c r="BV95" s="272"/>
      <c r="BW95" s="272"/>
      <c r="BX95" s="272"/>
      <c r="BY95" s="272"/>
      <c r="BZ95" s="272"/>
      <c r="CA95" s="272"/>
      <c r="CB95" s="272"/>
      <c r="CC95" s="272"/>
      <c r="CD95" s="272"/>
      <c r="CE95" s="272"/>
      <c r="CF95" s="272"/>
      <c r="CG95" s="272"/>
      <c r="CH95" s="272"/>
      <c r="CI95" s="272">
        <f t="shared" si="11"/>
        <v>21</v>
      </c>
      <c r="CJ95" s="272">
        <f t="shared" si="12"/>
        <v>21</v>
      </c>
      <c r="CK95" s="272">
        <f t="shared" si="13"/>
        <v>12</v>
      </c>
      <c r="CL95" s="272">
        <f t="shared" si="14"/>
        <v>9</v>
      </c>
      <c r="CM95" s="272">
        <f t="shared" si="15"/>
        <v>0</v>
      </c>
      <c r="CN95" s="272">
        <f t="shared" si="16"/>
        <v>0</v>
      </c>
      <c r="CO95" s="272">
        <f t="shared" si="17"/>
        <v>2</v>
      </c>
      <c r="CP95" s="272">
        <f t="shared" si="18"/>
        <v>2</v>
      </c>
      <c r="CQ95" s="272">
        <v>0</v>
      </c>
      <c r="CR95" s="272">
        <f t="shared" si="19"/>
        <v>0</v>
      </c>
      <c r="CS95" s="272">
        <f t="shared" si="20"/>
        <v>0</v>
      </c>
      <c r="CT95" s="272">
        <v>33</v>
      </c>
      <c r="CU95" s="272">
        <v>30</v>
      </c>
      <c r="CV95" s="272">
        <v>30</v>
      </c>
      <c r="CW95" s="272">
        <v>104</v>
      </c>
      <c r="CX95" s="272">
        <v>95</v>
      </c>
      <c r="CY95" s="272">
        <v>95</v>
      </c>
    </row>
    <row r="96" spans="1:103">
      <c r="A96" s="272" t="s">
        <v>103</v>
      </c>
      <c r="B96" s="272">
        <v>0</v>
      </c>
      <c r="C96" s="272">
        <v>0</v>
      </c>
      <c r="D96" s="272">
        <v>0</v>
      </c>
      <c r="E96" s="272">
        <v>0</v>
      </c>
      <c r="F96" s="272">
        <v>0</v>
      </c>
      <c r="G96" s="272">
        <v>0</v>
      </c>
      <c r="H96" s="272">
        <v>0</v>
      </c>
      <c r="I96" s="272">
        <v>0</v>
      </c>
      <c r="J96" s="272">
        <v>0</v>
      </c>
      <c r="K96" s="272">
        <v>0</v>
      </c>
      <c r="L96" s="272">
        <v>2</v>
      </c>
      <c r="M96" s="272">
        <v>0</v>
      </c>
      <c r="N96" s="272">
        <v>0</v>
      </c>
      <c r="O96" s="272">
        <v>0</v>
      </c>
      <c r="P96" s="272">
        <v>0</v>
      </c>
      <c r="Q96" s="272">
        <v>0</v>
      </c>
      <c r="R96" s="272">
        <v>0</v>
      </c>
      <c r="S96" s="272">
        <v>0</v>
      </c>
      <c r="T96" s="272">
        <v>0</v>
      </c>
      <c r="U96" s="272">
        <v>1046</v>
      </c>
      <c r="V96" s="272">
        <v>264</v>
      </c>
      <c r="W96" s="272">
        <v>51</v>
      </c>
      <c r="X96" s="272">
        <v>4</v>
      </c>
      <c r="Y96" s="272">
        <v>0</v>
      </c>
      <c r="Z96" s="272">
        <v>0</v>
      </c>
      <c r="AA96" s="272">
        <v>29</v>
      </c>
      <c r="AB96" s="272">
        <v>9</v>
      </c>
      <c r="AC96" s="272">
        <v>3</v>
      </c>
      <c r="AD96" s="272">
        <v>0</v>
      </c>
      <c r="AE96" s="272">
        <v>0</v>
      </c>
      <c r="AF96" s="272">
        <v>0</v>
      </c>
      <c r="AG96" s="272">
        <v>0</v>
      </c>
      <c r="AH96" s="272">
        <v>0</v>
      </c>
      <c r="AI96" s="272">
        <v>0</v>
      </c>
      <c r="AJ96" s="272">
        <v>0</v>
      </c>
      <c r="AK96" s="272">
        <v>0</v>
      </c>
      <c r="AL96" s="272">
        <v>0</v>
      </c>
      <c r="AM96" s="272">
        <v>0</v>
      </c>
      <c r="AN96" s="272">
        <v>0</v>
      </c>
      <c r="AO96" s="272">
        <v>0</v>
      </c>
      <c r="AP96" s="272">
        <v>0</v>
      </c>
      <c r="AQ96" s="272">
        <v>0</v>
      </c>
      <c r="AR96" s="272">
        <v>0</v>
      </c>
      <c r="AS96" s="272">
        <v>0</v>
      </c>
      <c r="AT96" s="272">
        <v>0</v>
      </c>
      <c r="AU96" s="272">
        <v>0</v>
      </c>
      <c r="AV96" s="272">
        <v>0</v>
      </c>
      <c r="AW96" s="272">
        <v>0</v>
      </c>
      <c r="AX96" s="272">
        <v>0</v>
      </c>
      <c r="AY96" s="272">
        <v>0</v>
      </c>
      <c r="AZ96" s="272">
        <v>12</v>
      </c>
      <c r="BA96" s="272">
        <v>12</v>
      </c>
      <c r="BB96" s="272">
        <v>12</v>
      </c>
      <c r="BC96" s="272">
        <v>59</v>
      </c>
      <c r="BD96" s="272">
        <v>56</v>
      </c>
      <c r="BE96" s="272">
        <v>56</v>
      </c>
      <c r="BF96" s="272">
        <v>25</v>
      </c>
      <c r="BG96" s="272">
        <v>0</v>
      </c>
      <c r="BH96" s="272"/>
      <c r="BI96" s="272"/>
      <c r="BJ96" s="272"/>
      <c r="BK96" s="272"/>
      <c r="BL96" s="272"/>
      <c r="BM96" s="272"/>
      <c r="BN96" s="272"/>
      <c r="BO96" s="272"/>
      <c r="BP96" s="272"/>
      <c r="BQ96" s="272"/>
      <c r="BR96" s="272"/>
      <c r="BS96" s="272"/>
      <c r="BT96" s="272"/>
      <c r="BU96" s="272"/>
      <c r="BV96" s="272"/>
      <c r="BW96" s="272"/>
      <c r="BX96" s="272"/>
      <c r="BY96" s="272"/>
      <c r="BZ96" s="272"/>
      <c r="CA96" s="272"/>
      <c r="CB96" s="272"/>
      <c r="CC96" s="272"/>
      <c r="CD96" s="272"/>
      <c r="CE96" s="272"/>
      <c r="CF96" s="272"/>
      <c r="CG96" s="272"/>
      <c r="CH96" s="272"/>
      <c r="CI96" s="272">
        <f t="shared" si="11"/>
        <v>29</v>
      </c>
      <c r="CJ96" s="272">
        <f t="shared" si="12"/>
        <v>29</v>
      </c>
      <c r="CK96" s="272">
        <f t="shared" si="13"/>
        <v>20</v>
      </c>
      <c r="CL96" s="272">
        <f t="shared" si="14"/>
        <v>9</v>
      </c>
      <c r="CM96" s="272">
        <f t="shared" si="15"/>
        <v>0</v>
      </c>
      <c r="CN96" s="272">
        <f t="shared" si="16"/>
        <v>0</v>
      </c>
      <c r="CO96" s="272">
        <f t="shared" si="17"/>
        <v>2</v>
      </c>
      <c r="CP96" s="272">
        <f t="shared" si="18"/>
        <v>2</v>
      </c>
      <c r="CQ96" s="272">
        <v>2</v>
      </c>
      <c r="CR96" s="272">
        <f t="shared" si="19"/>
        <v>0</v>
      </c>
      <c r="CS96" s="272">
        <f t="shared" si="20"/>
        <v>0</v>
      </c>
      <c r="CT96" s="272">
        <v>33</v>
      </c>
      <c r="CU96" s="272">
        <v>31</v>
      </c>
      <c r="CV96" s="272">
        <v>31</v>
      </c>
      <c r="CW96" s="272">
        <v>104</v>
      </c>
      <c r="CX96" s="272">
        <v>99</v>
      </c>
      <c r="CY96" s="272">
        <v>99</v>
      </c>
    </row>
    <row r="97" spans="1:103">
      <c r="A97" s="272" t="s">
        <v>104</v>
      </c>
      <c r="B97" s="272">
        <v>0</v>
      </c>
      <c r="C97" s="272">
        <v>0</v>
      </c>
      <c r="D97" s="272">
        <v>0</v>
      </c>
      <c r="E97" s="272">
        <v>0</v>
      </c>
      <c r="F97" s="272">
        <v>0</v>
      </c>
      <c r="G97" s="272">
        <v>0</v>
      </c>
      <c r="H97" s="272">
        <v>0</v>
      </c>
      <c r="I97" s="272">
        <v>0</v>
      </c>
      <c r="J97" s="272">
        <v>0</v>
      </c>
      <c r="K97" s="272">
        <v>0</v>
      </c>
      <c r="L97" s="272">
        <v>1</v>
      </c>
      <c r="M97" s="272">
        <v>0</v>
      </c>
      <c r="N97" s="272">
        <v>0</v>
      </c>
      <c r="O97" s="272">
        <v>0</v>
      </c>
      <c r="P97" s="272">
        <v>0</v>
      </c>
      <c r="Q97" s="272">
        <v>0</v>
      </c>
      <c r="R97" s="272">
        <v>0</v>
      </c>
      <c r="S97" s="272">
        <v>0</v>
      </c>
      <c r="T97" s="272">
        <v>0</v>
      </c>
      <c r="U97" s="272">
        <v>1132</v>
      </c>
      <c r="V97" s="272">
        <v>258</v>
      </c>
      <c r="W97" s="272">
        <v>57</v>
      </c>
      <c r="X97" s="272">
        <v>7</v>
      </c>
      <c r="Y97" s="272">
        <v>0</v>
      </c>
      <c r="Z97" s="272">
        <v>0</v>
      </c>
      <c r="AA97" s="272">
        <v>32</v>
      </c>
      <c r="AB97" s="272">
        <v>10</v>
      </c>
      <c r="AC97" s="272">
        <v>2</v>
      </c>
      <c r="AD97" s="272">
        <v>0</v>
      </c>
      <c r="AE97" s="272">
        <v>0</v>
      </c>
      <c r="AF97" s="272">
        <v>0</v>
      </c>
      <c r="AG97" s="272">
        <v>0</v>
      </c>
      <c r="AH97" s="272">
        <v>0</v>
      </c>
      <c r="AI97" s="272">
        <v>0</v>
      </c>
      <c r="AJ97" s="272">
        <v>0</v>
      </c>
      <c r="AK97" s="272">
        <v>0</v>
      </c>
      <c r="AL97" s="272">
        <v>0</v>
      </c>
      <c r="AM97" s="272">
        <v>0</v>
      </c>
      <c r="AN97" s="272">
        <v>0</v>
      </c>
      <c r="AO97" s="272">
        <v>0</v>
      </c>
      <c r="AP97" s="272">
        <v>0</v>
      </c>
      <c r="AQ97" s="272">
        <v>0</v>
      </c>
      <c r="AR97" s="272">
        <v>0</v>
      </c>
      <c r="AS97" s="272">
        <v>0</v>
      </c>
      <c r="AT97" s="272">
        <v>0</v>
      </c>
      <c r="AU97" s="272">
        <v>0</v>
      </c>
      <c r="AV97" s="272">
        <v>0</v>
      </c>
      <c r="AW97" s="272">
        <v>0</v>
      </c>
      <c r="AX97" s="272">
        <v>0</v>
      </c>
      <c r="AY97" s="272">
        <v>0</v>
      </c>
      <c r="AZ97" s="272">
        <v>12</v>
      </c>
      <c r="BA97" s="272">
        <v>12</v>
      </c>
      <c r="BB97" s="272">
        <v>12</v>
      </c>
      <c r="BC97" s="272">
        <v>59</v>
      </c>
      <c r="BD97" s="272">
        <v>58</v>
      </c>
      <c r="BE97" s="272">
        <v>57</v>
      </c>
      <c r="BF97" s="272">
        <v>25</v>
      </c>
      <c r="BG97" s="272">
        <v>0</v>
      </c>
      <c r="BH97" s="272"/>
      <c r="BI97" s="272"/>
      <c r="BJ97" s="272"/>
      <c r="BK97" s="272"/>
      <c r="BL97" s="272"/>
      <c r="BM97" s="272"/>
      <c r="BN97" s="272"/>
      <c r="BO97" s="272"/>
      <c r="BP97" s="272"/>
      <c r="BQ97" s="272"/>
      <c r="BR97" s="272"/>
      <c r="BS97" s="272"/>
      <c r="BT97" s="272"/>
      <c r="BU97" s="272"/>
      <c r="BV97" s="272"/>
      <c r="BW97" s="272"/>
      <c r="BX97" s="272"/>
      <c r="BY97" s="272"/>
      <c r="BZ97" s="272"/>
      <c r="CA97" s="272"/>
      <c r="CB97" s="272"/>
      <c r="CC97" s="272"/>
      <c r="CD97" s="272"/>
      <c r="CE97" s="272"/>
      <c r="CF97" s="272"/>
      <c r="CG97" s="272"/>
      <c r="CH97" s="272"/>
      <c r="CI97" s="272">
        <f t="shared" si="11"/>
        <v>32</v>
      </c>
      <c r="CJ97" s="272">
        <f t="shared" si="12"/>
        <v>32</v>
      </c>
      <c r="CK97" s="272">
        <f t="shared" si="13"/>
        <v>22</v>
      </c>
      <c r="CL97" s="272">
        <f t="shared" si="14"/>
        <v>10</v>
      </c>
      <c r="CM97" s="272">
        <f t="shared" si="15"/>
        <v>0</v>
      </c>
      <c r="CN97" s="272">
        <f t="shared" si="16"/>
        <v>0</v>
      </c>
      <c r="CO97" s="272">
        <f t="shared" si="17"/>
        <v>1</v>
      </c>
      <c r="CP97" s="272">
        <f t="shared" si="18"/>
        <v>1</v>
      </c>
      <c r="CQ97" s="272">
        <v>0</v>
      </c>
      <c r="CR97" s="272">
        <f t="shared" si="19"/>
        <v>0</v>
      </c>
      <c r="CS97" s="272">
        <f t="shared" si="20"/>
        <v>0</v>
      </c>
      <c r="CT97" s="272">
        <v>33</v>
      </c>
      <c r="CU97" s="272">
        <v>32</v>
      </c>
      <c r="CV97" s="272">
        <v>32</v>
      </c>
      <c r="CW97" s="272">
        <v>104</v>
      </c>
      <c r="CX97" s="272">
        <v>102</v>
      </c>
      <c r="CY97" s="272">
        <v>98</v>
      </c>
    </row>
    <row r="98" spans="1:103">
      <c r="A98" s="272" t="s">
        <v>105</v>
      </c>
      <c r="B98" s="272">
        <v>0</v>
      </c>
      <c r="C98" s="272">
        <v>0</v>
      </c>
      <c r="D98" s="272">
        <v>0</v>
      </c>
      <c r="E98" s="272">
        <v>0</v>
      </c>
      <c r="F98" s="272">
        <v>0</v>
      </c>
      <c r="G98" s="272">
        <v>0</v>
      </c>
      <c r="H98" s="272">
        <v>0</v>
      </c>
      <c r="I98" s="272">
        <v>0</v>
      </c>
      <c r="J98" s="272">
        <v>0</v>
      </c>
      <c r="K98" s="272">
        <v>0</v>
      </c>
      <c r="L98" s="272">
        <v>1</v>
      </c>
      <c r="M98" s="272">
        <v>0</v>
      </c>
      <c r="N98" s="272">
        <v>0</v>
      </c>
      <c r="O98" s="272">
        <v>0</v>
      </c>
      <c r="P98" s="272">
        <v>0</v>
      </c>
      <c r="Q98" s="272">
        <v>0</v>
      </c>
      <c r="R98" s="272">
        <v>0</v>
      </c>
      <c r="S98" s="272">
        <v>0</v>
      </c>
      <c r="T98" s="272">
        <v>0</v>
      </c>
      <c r="U98" s="272">
        <v>1056</v>
      </c>
      <c r="V98" s="272">
        <v>254</v>
      </c>
      <c r="W98" s="272">
        <v>53</v>
      </c>
      <c r="X98" s="272">
        <v>7</v>
      </c>
      <c r="Y98" s="272">
        <v>0</v>
      </c>
      <c r="Z98" s="272">
        <v>0</v>
      </c>
      <c r="AA98" s="272">
        <v>44</v>
      </c>
      <c r="AB98" s="272">
        <v>3</v>
      </c>
      <c r="AC98" s="272">
        <v>1</v>
      </c>
      <c r="AD98" s="272">
        <v>0</v>
      </c>
      <c r="AE98" s="272">
        <v>0</v>
      </c>
      <c r="AF98" s="272">
        <v>0</v>
      </c>
      <c r="AG98" s="272">
        <v>0</v>
      </c>
      <c r="AH98" s="272">
        <v>0</v>
      </c>
      <c r="AI98" s="272">
        <v>0</v>
      </c>
      <c r="AJ98" s="272">
        <v>0</v>
      </c>
      <c r="AK98" s="272">
        <v>0</v>
      </c>
      <c r="AL98" s="272">
        <v>0</v>
      </c>
      <c r="AM98" s="272">
        <v>0</v>
      </c>
      <c r="AN98" s="272">
        <v>0</v>
      </c>
      <c r="AO98" s="272">
        <v>0</v>
      </c>
      <c r="AP98" s="272">
        <v>0</v>
      </c>
      <c r="AQ98" s="272">
        <v>0</v>
      </c>
      <c r="AR98" s="272">
        <v>0</v>
      </c>
      <c r="AS98" s="272">
        <v>0</v>
      </c>
      <c r="AT98" s="272">
        <v>0</v>
      </c>
      <c r="AU98" s="272">
        <v>0</v>
      </c>
      <c r="AV98" s="272">
        <v>0</v>
      </c>
      <c r="AW98" s="272">
        <v>0</v>
      </c>
      <c r="AX98" s="272">
        <v>0</v>
      </c>
      <c r="AY98" s="272">
        <v>0</v>
      </c>
      <c r="AZ98" s="272">
        <v>12</v>
      </c>
      <c r="BA98" s="272">
        <v>12</v>
      </c>
      <c r="BB98" s="272">
        <v>12</v>
      </c>
      <c r="BC98" s="272">
        <v>59</v>
      </c>
      <c r="BD98" s="272">
        <v>58</v>
      </c>
      <c r="BE98" s="272">
        <v>52</v>
      </c>
      <c r="BF98" s="272">
        <v>18</v>
      </c>
      <c r="BG98" s="272">
        <v>0</v>
      </c>
      <c r="BH98" s="272">
        <v>0</v>
      </c>
      <c r="BI98" s="272">
        <v>0</v>
      </c>
      <c r="BJ98" s="272">
        <v>0</v>
      </c>
      <c r="BK98" s="272">
        <v>0</v>
      </c>
      <c r="BL98" s="272">
        <v>0</v>
      </c>
      <c r="BM98" s="272">
        <v>0</v>
      </c>
      <c r="BN98" s="272">
        <v>0</v>
      </c>
      <c r="BO98" s="272">
        <v>0</v>
      </c>
      <c r="BP98" s="272">
        <v>0</v>
      </c>
      <c r="BQ98" s="272">
        <v>0</v>
      </c>
      <c r="BR98" s="272">
        <v>0</v>
      </c>
      <c r="BS98" s="272">
        <v>0</v>
      </c>
      <c r="BT98" s="272">
        <v>0</v>
      </c>
      <c r="BU98" s="272">
        <v>0</v>
      </c>
      <c r="BV98" s="272">
        <v>0</v>
      </c>
      <c r="BW98" s="272">
        <v>0</v>
      </c>
      <c r="BX98" s="272">
        <v>0</v>
      </c>
      <c r="BY98" s="272">
        <v>0</v>
      </c>
      <c r="BZ98" s="272">
        <v>0</v>
      </c>
      <c r="CA98" s="272">
        <v>0</v>
      </c>
      <c r="CB98" s="272">
        <v>0</v>
      </c>
      <c r="CC98" s="272">
        <v>0</v>
      </c>
      <c r="CD98" s="272">
        <v>0</v>
      </c>
      <c r="CE98" s="272">
        <v>0</v>
      </c>
      <c r="CF98" s="272">
        <v>0</v>
      </c>
      <c r="CG98" s="272">
        <v>0</v>
      </c>
      <c r="CH98" s="272">
        <v>0</v>
      </c>
      <c r="CI98" s="272">
        <f t="shared" si="11"/>
        <v>44</v>
      </c>
      <c r="CJ98" s="272">
        <f t="shared" si="12"/>
        <v>44</v>
      </c>
      <c r="CK98" s="272">
        <f t="shared" si="13"/>
        <v>41</v>
      </c>
      <c r="CL98" s="272">
        <f t="shared" si="14"/>
        <v>3</v>
      </c>
      <c r="CM98" s="272">
        <f t="shared" si="15"/>
        <v>0</v>
      </c>
      <c r="CN98" s="272">
        <f t="shared" si="16"/>
        <v>0</v>
      </c>
      <c r="CO98" s="272">
        <f t="shared" si="17"/>
        <v>1</v>
      </c>
      <c r="CP98" s="272">
        <f t="shared" si="18"/>
        <v>1</v>
      </c>
      <c r="CQ98" s="272">
        <v>0</v>
      </c>
      <c r="CR98" s="272">
        <f t="shared" si="19"/>
        <v>0</v>
      </c>
      <c r="CS98" s="272">
        <f t="shared" si="20"/>
        <v>0</v>
      </c>
      <c r="CT98" s="272">
        <v>33</v>
      </c>
      <c r="CU98" s="272">
        <v>32</v>
      </c>
      <c r="CV98" s="272">
        <v>30</v>
      </c>
      <c r="CW98" s="272">
        <v>104</v>
      </c>
      <c r="CX98" s="272">
        <v>102</v>
      </c>
      <c r="CY98" s="272">
        <v>94</v>
      </c>
    </row>
    <row r="99" spans="1:103">
      <c r="A99" s="272" t="s">
        <v>106</v>
      </c>
      <c r="B99" s="272">
        <v>0</v>
      </c>
      <c r="C99" s="272">
        <v>0</v>
      </c>
      <c r="D99" s="272">
        <v>1</v>
      </c>
      <c r="E99" s="272">
        <v>0</v>
      </c>
      <c r="F99" s="272">
        <v>0</v>
      </c>
      <c r="G99" s="272">
        <v>0</v>
      </c>
      <c r="H99" s="272">
        <v>0</v>
      </c>
      <c r="I99" s="272">
        <v>0</v>
      </c>
      <c r="J99" s="272">
        <v>0</v>
      </c>
      <c r="K99" s="272">
        <v>0</v>
      </c>
      <c r="L99" s="272">
        <v>3</v>
      </c>
      <c r="M99" s="272">
        <v>0</v>
      </c>
      <c r="N99" s="272">
        <v>0</v>
      </c>
      <c r="O99" s="272">
        <v>0</v>
      </c>
      <c r="P99" s="272">
        <v>0</v>
      </c>
      <c r="Q99" s="272">
        <v>0</v>
      </c>
      <c r="R99" s="272">
        <v>0</v>
      </c>
      <c r="S99" s="272">
        <v>0</v>
      </c>
      <c r="T99" s="272">
        <v>0</v>
      </c>
      <c r="U99" s="272">
        <v>1306</v>
      </c>
      <c r="V99" s="272">
        <v>303</v>
      </c>
      <c r="W99" s="272">
        <v>65</v>
      </c>
      <c r="X99" s="272">
        <v>10</v>
      </c>
      <c r="Y99" s="272">
        <v>0</v>
      </c>
      <c r="Z99" s="272">
        <v>0</v>
      </c>
      <c r="AA99" s="272">
        <v>47</v>
      </c>
      <c r="AB99" s="272">
        <v>7</v>
      </c>
      <c r="AC99" s="272">
        <v>2</v>
      </c>
      <c r="AD99" s="272">
        <v>0</v>
      </c>
      <c r="AE99" s="272">
        <v>0</v>
      </c>
      <c r="AF99" s="272">
        <v>0</v>
      </c>
      <c r="AG99" s="272">
        <v>1</v>
      </c>
      <c r="AH99" s="272">
        <v>0</v>
      </c>
      <c r="AI99" s="272">
        <v>0</v>
      </c>
      <c r="AJ99" s="272">
        <v>0</v>
      </c>
      <c r="AK99" s="272">
        <v>0</v>
      </c>
      <c r="AL99" s="272">
        <v>0</v>
      </c>
      <c r="AM99" s="272">
        <v>0</v>
      </c>
      <c r="AN99" s="272">
        <v>0</v>
      </c>
      <c r="AO99" s="272">
        <v>0</v>
      </c>
      <c r="AP99" s="272">
        <v>0</v>
      </c>
      <c r="AQ99" s="272">
        <v>0</v>
      </c>
      <c r="AR99" s="272">
        <v>0</v>
      </c>
      <c r="AS99" s="272">
        <v>0</v>
      </c>
      <c r="AT99" s="272">
        <v>0</v>
      </c>
      <c r="AU99" s="272">
        <v>0</v>
      </c>
      <c r="AV99" s="272">
        <v>0</v>
      </c>
      <c r="AW99" s="272">
        <v>0</v>
      </c>
      <c r="AX99" s="272">
        <v>0</v>
      </c>
      <c r="AY99" s="272">
        <v>0</v>
      </c>
      <c r="AZ99" s="272">
        <v>12</v>
      </c>
      <c r="BA99" s="272">
        <v>12</v>
      </c>
      <c r="BB99" s="272">
        <v>12</v>
      </c>
      <c r="BC99" s="272">
        <v>59</v>
      </c>
      <c r="BD99" s="272">
        <v>57</v>
      </c>
      <c r="BE99" s="272">
        <v>54</v>
      </c>
      <c r="BF99" s="272">
        <v>15</v>
      </c>
      <c r="BG99" s="272">
        <v>0</v>
      </c>
      <c r="BH99" s="272"/>
      <c r="BI99" s="272"/>
      <c r="BJ99" s="272"/>
      <c r="BK99" s="272"/>
      <c r="BL99" s="272"/>
      <c r="BM99" s="272"/>
      <c r="BN99" s="272"/>
      <c r="BO99" s="272"/>
      <c r="BP99" s="272"/>
      <c r="BQ99" s="272"/>
      <c r="BR99" s="272"/>
      <c r="BS99" s="272"/>
      <c r="BT99" s="272"/>
      <c r="BU99" s="272"/>
      <c r="BV99" s="272"/>
      <c r="BW99" s="272"/>
      <c r="BX99" s="272"/>
      <c r="BY99" s="272"/>
      <c r="BZ99" s="272"/>
      <c r="CA99" s="272"/>
      <c r="CB99" s="272"/>
      <c r="CC99" s="272"/>
      <c r="CD99" s="272"/>
      <c r="CE99" s="272"/>
      <c r="CF99" s="272"/>
      <c r="CG99" s="272"/>
      <c r="CH99" s="272"/>
      <c r="CI99" s="272">
        <f t="shared" si="11"/>
        <v>47</v>
      </c>
      <c r="CJ99" s="272">
        <f t="shared" si="12"/>
        <v>47</v>
      </c>
      <c r="CK99" s="272">
        <f t="shared" si="13"/>
        <v>40</v>
      </c>
      <c r="CL99" s="272">
        <f t="shared" si="14"/>
        <v>7</v>
      </c>
      <c r="CM99" s="272">
        <f t="shared" si="15"/>
        <v>1</v>
      </c>
      <c r="CN99" s="272">
        <f t="shared" si="16"/>
        <v>1</v>
      </c>
      <c r="CO99" s="272">
        <f t="shared" si="17"/>
        <v>3</v>
      </c>
      <c r="CP99" s="272">
        <f t="shared" si="18"/>
        <v>3</v>
      </c>
      <c r="CQ99" s="272">
        <v>0</v>
      </c>
      <c r="CR99" s="272">
        <f t="shared" si="19"/>
        <v>0</v>
      </c>
      <c r="CS99" s="272">
        <f t="shared" si="20"/>
        <v>0</v>
      </c>
      <c r="CT99" s="272">
        <v>33</v>
      </c>
      <c r="CU99" s="272">
        <v>32</v>
      </c>
      <c r="CV99" s="272">
        <v>31</v>
      </c>
      <c r="CW99" s="272">
        <v>104</v>
      </c>
      <c r="CX99" s="272">
        <v>101</v>
      </c>
      <c r="CY99" s="272">
        <v>94</v>
      </c>
    </row>
    <row r="100" spans="1:103">
      <c r="A100" s="272" t="s">
        <v>107</v>
      </c>
      <c r="B100" s="272">
        <v>0</v>
      </c>
      <c r="C100" s="272">
        <v>0</v>
      </c>
      <c r="D100" s="272">
        <v>0</v>
      </c>
      <c r="E100" s="272">
        <v>0</v>
      </c>
      <c r="F100" s="272">
        <v>0</v>
      </c>
      <c r="G100" s="272">
        <v>0</v>
      </c>
      <c r="H100" s="272">
        <v>0</v>
      </c>
      <c r="I100" s="272">
        <v>0</v>
      </c>
      <c r="J100" s="272">
        <v>0</v>
      </c>
      <c r="K100" s="272">
        <v>0</v>
      </c>
      <c r="L100" s="272">
        <v>0</v>
      </c>
      <c r="M100" s="272">
        <v>0</v>
      </c>
      <c r="N100" s="272">
        <v>0</v>
      </c>
      <c r="O100" s="272">
        <v>0</v>
      </c>
      <c r="P100" s="272">
        <v>0</v>
      </c>
      <c r="Q100" s="272">
        <v>0</v>
      </c>
      <c r="R100" s="272">
        <v>0</v>
      </c>
      <c r="S100" s="272">
        <v>0</v>
      </c>
      <c r="T100" s="272">
        <v>0</v>
      </c>
      <c r="U100" s="272">
        <v>1356</v>
      </c>
      <c r="V100" s="272">
        <v>271</v>
      </c>
      <c r="W100" s="272">
        <v>60</v>
      </c>
      <c r="X100" s="272">
        <v>2</v>
      </c>
      <c r="Y100" s="272">
        <v>0</v>
      </c>
      <c r="Z100" s="272">
        <v>0</v>
      </c>
      <c r="AA100" s="272">
        <v>44</v>
      </c>
      <c r="AB100" s="272">
        <v>13</v>
      </c>
      <c r="AC100" s="272">
        <v>4</v>
      </c>
      <c r="AD100" s="272">
        <v>0</v>
      </c>
      <c r="AE100" s="272">
        <v>0</v>
      </c>
      <c r="AF100" s="272">
        <v>0</v>
      </c>
      <c r="AG100" s="272">
        <v>0</v>
      </c>
      <c r="AH100" s="272">
        <v>0</v>
      </c>
      <c r="AI100" s="272">
        <v>0</v>
      </c>
      <c r="AJ100" s="272">
        <v>0</v>
      </c>
      <c r="AK100" s="272">
        <v>0</v>
      </c>
      <c r="AL100" s="272">
        <v>0</v>
      </c>
      <c r="AM100" s="272">
        <v>0</v>
      </c>
      <c r="AN100" s="272">
        <v>0</v>
      </c>
      <c r="AO100" s="272">
        <v>0</v>
      </c>
      <c r="AP100" s="272">
        <v>0</v>
      </c>
      <c r="AQ100" s="272">
        <v>0</v>
      </c>
      <c r="AR100" s="272">
        <v>0</v>
      </c>
      <c r="AS100" s="272">
        <v>0</v>
      </c>
      <c r="AT100" s="272">
        <v>0</v>
      </c>
      <c r="AU100" s="272">
        <v>0</v>
      </c>
      <c r="AV100" s="272">
        <v>0</v>
      </c>
      <c r="AW100" s="272">
        <v>0</v>
      </c>
      <c r="AX100" s="272">
        <v>0</v>
      </c>
      <c r="AY100" s="272">
        <v>0</v>
      </c>
      <c r="AZ100" s="272">
        <v>12</v>
      </c>
      <c r="BA100" s="272">
        <v>12</v>
      </c>
      <c r="BB100" s="272">
        <v>12</v>
      </c>
      <c r="BC100" s="272">
        <v>59</v>
      </c>
      <c r="BD100" s="272">
        <v>57</v>
      </c>
      <c r="BE100" s="272">
        <v>56</v>
      </c>
      <c r="BF100" s="272">
        <v>11</v>
      </c>
      <c r="BG100" s="272">
        <v>0</v>
      </c>
      <c r="BH100" s="272"/>
      <c r="BI100" s="272"/>
      <c r="BJ100" s="272"/>
      <c r="BK100" s="272"/>
      <c r="BL100" s="272"/>
      <c r="BM100" s="272"/>
      <c r="BN100" s="272"/>
      <c r="BO100" s="272"/>
      <c r="BP100" s="272"/>
      <c r="BQ100" s="272"/>
      <c r="BR100" s="272"/>
      <c r="BS100" s="272"/>
      <c r="BT100" s="272"/>
      <c r="BU100" s="272"/>
      <c r="BV100" s="272"/>
      <c r="BW100" s="272"/>
      <c r="BX100" s="272"/>
      <c r="BY100" s="272"/>
      <c r="BZ100" s="272"/>
      <c r="CA100" s="272"/>
      <c r="CB100" s="272"/>
      <c r="CC100" s="272"/>
      <c r="CD100" s="272"/>
      <c r="CE100" s="272"/>
      <c r="CF100" s="272"/>
      <c r="CG100" s="272"/>
      <c r="CH100" s="272"/>
      <c r="CI100" s="272">
        <f t="shared" si="11"/>
        <v>44</v>
      </c>
      <c r="CJ100" s="272">
        <f t="shared" si="12"/>
        <v>44</v>
      </c>
      <c r="CK100" s="272">
        <f t="shared" si="13"/>
        <v>31</v>
      </c>
      <c r="CL100" s="272">
        <f t="shared" si="14"/>
        <v>13</v>
      </c>
      <c r="CM100" s="272">
        <f t="shared" si="15"/>
        <v>0</v>
      </c>
      <c r="CN100" s="272">
        <f t="shared" si="16"/>
        <v>0</v>
      </c>
      <c r="CO100" s="272">
        <f t="shared" si="17"/>
        <v>0</v>
      </c>
      <c r="CP100" s="272">
        <f t="shared" si="18"/>
        <v>0</v>
      </c>
      <c r="CQ100" s="272">
        <v>0</v>
      </c>
      <c r="CR100" s="272">
        <f t="shared" si="19"/>
        <v>0</v>
      </c>
      <c r="CS100" s="272">
        <f t="shared" si="20"/>
        <v>0</v>
      </c>
      <c r="CT100" s="272">
        <v>33</v>
      </c>
      <c r="CU100" s="272">
        <v>32</v>
      </c>
      <c r="CV100" s="272">
        <v>32</v>
      </c>
      <c r="CW100" s="272">
        <v>104</v>
      </c>
      <c r="CX100" s="272">
        <v>101</v>
      </c>
      <c r="CY100" s="272">
        <v>100</v>
      </c>
    </row>
    <row r="101" spans="1:103">
      <c r="A101" s="272" t="s">
        <v>108</v>
      </c>
      <c r="B101" s="272">
        <v>0</v>
      </c>
      <c r="C101" s="272">
        <v>0</v>
      </c>
      <c r="D101" s="272">
        <v>1</v>
      </c>
      <c r="E101" s="272">
        <v>0</v>
      </c>
      <c r="F101" s="272">
        <v>0</v>
      </c>
      <c r="G101" s="272">
        <v>0</v>
      </c>
      <c r="H101" s="272">
        <v>0</v>
      </c>
      <c r="I101" s="272">
        <v>0</v>
      </c>
      <c r="J101" s="272">
        <v>0</v>
      </c>
      <c r="K101" s="272">
        <v>0</v>
      </c>
      <c r="L101" s="272">
        <v>1</v>
      </c>
      <c r="M101" s="272">
        <v>0</v>
      </c>
      <c r="N101" s="272">
        <v>0</v>
      </c>
      <c r="O101" s="272">
        <v>0</v>
      </c>
      <c r="P101" s="272">
        <v>0</v>
      </c>
      <c r="Q101" s="272">
        <v>0</v>
      </c>
      <c r="R101" s="272">
        <v>0</v>
      </c>
      <c r="S101" s="272">
        <v>0</v>
      </c>
      <c r="T101" s="272">
        <v>0</v>
      </c>
      <c r="U101" s="272">
        <v>1536</v>
      </c>
      <c r="V101" s="272">
        <v>319</v>
      </c>
      <c r="W101" s="272">
        <v>92</v>
      </c>
      <c r="X101" s="272">
        <v>6</v>
      </c>
      <c r="Y101" s="272">
        <v>0</v>
      </c>
      <c r="Z101" s="272">
        <v>0</v>
      </c>
      <c r="AA101" s="272">
        <v>55</v>
      </c>
      <c r="AB101" s="272">
        <v>20</v>
      </c>
      <c r="AC101" s="272">
        <v>6</v>
      </c>
      <c r="AD101" s="272">
        <v>0</v>
      </c>
      <c r="AE101" s="272">
        <v>0</v>
      </c>
      <c r="AF101" s="272">
        <v>0</v>
      </c>
      <c r="AG101" s="272">
        <v>0</v>
      </c>
      <c r="AH101" s="272">
        <v>0</v>
      </c>
      <c r="AI101" s="272">
        <v>0</v>
      </c>
      <c r="AJ101" s="272">
        <v>0</v>
      </c>
      <c r="AK101" s="272">
        <v>0</v>
      </c>
      <c r="AL101" s="272">
        <v>0</v>
      </c>
      <c r="AM101" s="272">
        <v>0</v>
      </c>
      <c r="AN101" s="272">
        <v>0</v>
      </c>
      <c r="AO101" s="272">
        <v>0</v>
      </c>
      <c r="AP101" s="272">
        <v>0</v>
      </c>
      <c r="AQ101" s="272">
        <v>0</v>
      </c>
      <c r="AR101" s="272">
        <v>0</v>
      </c>
      <c r="AS101" s="272">
        <v>0</v>
      </c>
      <c r="AT101" s="272">
        <v>0</v>
      </c>
      <c r="AU101" s="272">
        <v>0</v>
      </c>
      <c r="AV101" s="272">
        <v>0</v>
      </c>
      <c r="AW101" s="272">
        <v>0</v>
      </c>
      <c r="AX101" s="272">
        <v>0</v>
      </c>
      <c r="AY101" s="272">
        <v>0</v>
      </c>
      <c r="AZ101" s="272">
        <v>12</v>
      </c>
      <c r="BA101" s="272">
        <v>12</v>
      </c>
      <c r="BB101" s="272">
        <v>12</v>
      </c>
      <c r="BC101" s="272">
        <v>59</v>
      </c>
      <c r="BD101" s="272">
        <v>58</v>
      </c>
      <c r="BE101" s="272">
        <v>53</v>
      </c>
      <c r="BF101" s="272">
        <v>14</v>
      </c>
      <c r="BG101" s="272">
        <v>0</v>
      </c>
      <c r="BH101" s="272"/>
      <c r="BI101" s="272"/>
      <c r="BJ101" s="272"/>
      <c r="BK101" s="272"/>
      <c r="BL101" s="272"/>
      <c r="BM101" s="272"/>
      <c r="BN101" s="272"/>
      <c r="BO101" s="272"/>
      <c r="BP101" s="272"/>
      <c r="BQ101" s="272"/>
      <c r="BR101" s="272"/>
      <c r="BS101" s="272"/>
      <c r="BT101" s="272"/>
      <c r="BU101" s="272"/>
      <c r="BV101" s="272"/>
      <c r="BW101" s="272"/>
      <c r="BX101" s="272"/>
      <c r="BY101" s="272"/>
      <c r="BZ101" s="272"/>
      <c r="CA101" s="272"/>
      <c r="CB101" s="272"/>
      <c r="CC101" s="272"/>
      <c r="CD101" s="272"/>
      <c r="CE101" s="272"/>
      <c r="CF101" s="272"/>
      <c r="CG101" s="272"/>
      <c r="CH101" s="272"/>
      <c r="CI101" s="272">
        <f t="shared" si="11"/>
        <v>55</v>
      </c>
      <c r="CJ101" s="272">
        <f t="shared" si="12"/>
        <v>55</v>
      </c>
      <c r="CK101" s="272">
        <f t="shared" si="13"/>
        <v>35</v>
      </c>
      <c r="CL101" s="272">
        <f t="shared" si="14"/>
        <v>20</v>
      </c>
      <c r="CM101" s="272">
        <f t="shared" si="15"/>
        <v>1</v>
      </c>
      <c r="CN101" s="272">
        <f t="shared" si="16"/>
        <v>1</v>
      </c>
      <c r="CO101" s="272">
        <f t="shared" si="17"/>
        <v>1</v>
      </c>
      <c r="CP101" s="272">
        <f t="shared" si="18"/>
        <v>1</v>
      </c>
      <c r="CQ101" s="272">
        <v>0</v>
      </c>
      <c r="CR101" s="272">
        <f t="shared" si="19"/>
        <v>0</v>
      </c>
      <c r="CS101" s="272">
        <f t="shared" si="20"/>
        <v>0</v>
      </c>
      <c r="CT101" s="272">
        <v>33</v>
      </c>
      <c r="CU101" s="272">
        <v>33</v>
      </c>
      <c r="CV101" s="272">
        <v>33</v>
      </c>
      <c r="CW101" s="272">
        <v>104</v>
      </c>
      <c r="CX101" s="272">
        <v>103</v>
      </c>
      <c r="CY101" s="272">
        <v>97</v>
      </c>
    </row>
    <row r="102" spans="1:103">
      <c r="A102" s="272" t="s">
        <v>109</v>
      </c>
      <c r="B102" s="272">
        <v>0</v>
      </c>
      <c r="C102" s="272">
        <v>0</v>
      </c>
      <c r="D102" s="272">
        <v>0</v>
      </c>
      <c r="E102" s="272">
        <v>0</v>
      </c>
      <c r="F102" s="272">
        <v>0</v>
      </c>
      <c r="G102" s="272">
        <v>0</v>
      </c>
      <c r="H102" s="272">
        <v>0</v>
      </c>
      <c r="I102" s="272">
        <v>0</v>
      </c>
      <c r="J102" s="272">
        <v>1</v>
      </c>
      <c r="K102" s="272">
        <v>0</v>
      </c>
      <c r="L102" s="272">
        <v>0</v>
      </c>
      <c r="M102" s="272">
        <v>0</v>
      </c>
      <c r="N102" s="272">
        <v>0</v>
      </c>
      <c r="O102" s="272">
        <v>0</v>
      </c>
      <c r="P102" s="272">
        <v>0</v>
      </c>
      <c r="Q102" s="272">
        <v>0</v>
      </c>
      <c r="R102" s="272">
        <v>0</v>
      </c>
      <c r="S102" s="272">
        <v>0</v>
      </c>
      <c r="T102" s="272">
        <v>0</v>
      </c>
      <c r="U102" s="272">
        <v>1517</v>
      </c>
      <c r="V102" s="272">
        <v>307</v>
      </c>
      <c r="W102" s="272">
        <v>86</v>
      </c>
      <c r="X102" s="272">
        <v>8</v>
      </c>
      <c r="Y102" s="272">
        <v>0</v>
      </c>
      <c r="Z102" s="272">
        <v>0</v>
      </c>
      <c r="AA102" s="272">
        <v>41</v>
      </c>
      <c r="AB102" s="272">
        <v>18</v>
      </c>
      <c r="AC102" s="272">
        <v>12</v>
      </c>
      <c r="AD102" s="272">
        <v>0</v>
      </c>
      <c r="AE102" s="272">
        <v>0</v>
      </c>
      <c r="AF102" s="272">
        <v>0</v>
      </c>
      <c r="AG102" s="272">
        <v>0</v>
      </c>
      <c r="AH102" s="272">
        <v>0</v>
      </c>
      <c r="AI102" s="272">
        <v>0</v>
      </c>
      <c r="AJ102" s="272">
        <v>0</v>
      </c>
      <c r="AK102" s="272">
        <v>0</v>
      </c>
      <c r="AL102" s="272">
        <v>0</v>
      </c>
      <c r="AM102" s="272">
        <v>0</v>
      </c>
      <c r="AN102" s="272">
        <v>0</v>
      </c>
      <c r="AO102" s="272">
        <v>0</v>
      </c>
      <c r="AP102" s="272">
        <v>0</v>
      </c>
      <c r="AQ102" s="272">
        <v>0</v>
      </c>
      <c r="AR102" s="272">
        <v>0</v>
      </c>
      <c r="AS102" s="272">
        <v>0</v>
      </c>
      <c r="AT102" s="272">
        <v>0</v>
      </c>
      <c r="AU102" s="272">
        <v>0</v>
      </c>
      <c r="AV102" s="272">
        <v>0</v>
      </c>
      <c r="AW102" s="272">
        <v>0</v>
      </c>
      <c r="AX102" s="272">
        <v>0</v>
      </c>
      <c r="AY102" s="272">
        <v>0</v>
      </c>
      <c r="AZ102" s="272">
        <v>12</v>
      </c>
      <c r="BA102" s="272">
        <v>12</v>
      </c>
      <c r="BB102" s="272">
        <v>12</v>
      </c>
      <c r="BC102" s="272">
        <v>59</v>
      </c>
      <c r="BD102" s="272">
        <v>59</v>
      </c>
      <c r="BE102" s="272">
        <v>56</v>
      </c>
      <c r="BF102" s="272">
        <v>15</v>
      </c>
      <c r="BG102" s="272">
        <v>0</v>
      </c>
      <c r="BH102" s="272"/>
      <c r="BI102" s="272"/>
      <c r="BJ102" s="272"/>
      <c r="BK102" s="272"/>
      <c r="BL102" s="272"/>
      <c r="BM102" s="272"/>
      <c r="BN102" s="272"/>
      <c r="BO102" s="272"/>
      <c r="BP102" s="272"/>
      <c r="BQ102" s="272"/>
      <c r="BR102" s="272"/>
      <c r="BS102" s="272"/>
      <c r="BT102" s="272"/>
      <c r="BU102" s="272"/>
      <c r="BV102" s="272"/>
      <c r="BW102" s="272"/>
      <c r="BX102" s="272"/>
      <c r="BY102" s="272"/>
      <c r="BZ102" s="272"/>
      <c r="CA102" s="272"/>
      <c r="CB102" s="272"/>
      <c r="CC102" s="272"/>
      <c r="CD102" s="272"/>
      <c r="CE102" s="272"/>
      <c r="CF102" s="272"/>
      <c r="CG102" s="272"/>
      <c r="CH102" s="272"/>
      <c r="CI102" s="272">
        <f t="shared" si="11"/>
        <v>41</v>
      </c>
      <c r="CJ102" s="272">
        <f t="shared" si="12"/>
        <v>41</v>
      </c>
      <c r="CK102" s="272">
        <f t="shared" si="13"/>
        <v>23</v>
      </c>
      <c r="CL102" s="272">
        <f t="shared" si="14"/>
        <v>18</v>
      </c>
      <c r="CM102" s="272">
        <f t="shared" si="15"/>
        <v>0</v>
      </c>
      <c r="CN102" s="272">
        <f t="shared" si="16"/>
        <v>0</v>
      </c>
      <c r="CO102" s="272">
        <f t="shared" si="17"/>
        <v>0</v>
      </c>
      <c r="CP102" s="272">
        <f t="shared" si="18"/>
        <v>0</v>
      </c>
      <c r="CQ102" s="272">
        <v>0</v>
      </c>
      <c r="CR102" s="272">
        <f t="shared" si="19"/>
        <v>1</v>
      </c>
      <c r="CS102" s="272">
        <f t="shared" si="20"/>
        <v>1</v>
      </c>
      <c r="CT102" s="272">
        <v>33</v>
      </c>
      <c r="CU102" s="272">
        <v>32</v>
      </c>
      <c r="CV102" s="272">
        <v>31</v>
      </c>
      <c r="CW102" s="272">
        <v>104</v>
      </c>
      <c r="CX102" s="272">
        <v>103</v>
      </c>
      <c r="CY102" s="272">
        <v>99</v>
      </c>
    </row>
    <row r="103" spans="1:103">
      <c r="A103" s="272" t="s">
        <v>110</v>
      </c>
      <c r="B103" s="272">
        <v>0</v>
      </c>
      <c r="C103" s="272">
        <v>0</v>
      </c>
      <c r="D103" s="272">
        <v>0</v>
      </c>
      <c r="E103" s="272">
        <v>0</v>
      </c>
      <c r="F103" s="272">
        <v>0</v>
      </c>
      <c r="G103" s="272">
        <v>0</v>
      </c>
      <c r="H103" s="272">
        <v>0</v>
      </c>
      <c r="I103" s="272">
        <v>0</v>
      </c>
      <c r="J103" s="272">
        <v>0</v>
      </c>
      <c r="K103" s="272">
        <v>0</v>
      </c>
      <c r="L103" s="272">
        <v>2</v>
      </c>
      <c r="M103" s="272">
        <v>0</v>
      </c>
      <c r="N103" s="272">
        <v>0</v>
      </c>
      <c r="O103" s="272">
        <v>0</v>
      </c>
      <c r="P103" s="272">
        <v>0</v>
      </c>
      <c r="Q103" s="272">
        <v>0</v>
      </c>
      <c r="R103" s="272">
        <v>0</v>
      </c>
      <c r="S103" s="272">
        <v>0</v>
      </c>
      <c r="T103" s="272">
        <v>0</v>
      </c>
      <c r="U103" s="272">
        <v>1655</v>
      </c>
      <c r="V103" s="272">
        <v>252</v>
      </c>
      <c r="W103" s="272">
        <v>105</v>
      </c>
      <c r="X103" s="272">
        <v>9</v>
      </c>
      <c r="Y103" s="272">
        <v>0</v>
      </c>
      <c r="Z103" s="272">
        <v>0</v>
      </c>
      <c r="AA103" s="272">
        <v>56</v>
      </c>
      <c r="AB103" s="272">
        <v>20</v>
      </c>
      <c r="AC103" s="272">
        <v>9</v>
      </c>
      <c r="AD103" s="272">
        <v>0</v>
      </c>
      <c r="AE103" s="272">
        <v>0</v>
      </c>
      <c r="AF103" s="272">
        <v>0</v>
      </c>
      <c r="AG103" s="272">
        <v>0</v>
      </c>
      <c r="AH103" s="272">
        <v>0</v>
      </c>
      <c r="AI103" s="272">
        <v>0</v>
      </c>
      <c r="AJ103" s="272">
        <v>0</v>
      </c>
      <c r="AK103" s="272">
        <v>0</v>
      </c>
      <c r="AL103" s="272">
        <v>0</v>
      </c>
      <c r="AM103" s="272">
        <v>0</v>
      </c>
      <c r="AN103" s="272">
        <v>0</v>
      </c>
      <c r="AO103" s="272">
        <v>0</v>
      </c>
      <c r="AP103" s="272">
        <v>0</v>
      </c>
      <c r="AQ103" s="272">
        <v>0</v>
      </c>
      <c r="AR103" s="272">
        <v>0</v>
      </c>
      <c r="AS103" s="272">
        <v>0</v>
      </c>
      <c r="AT103" s="272">
        <v>0</v>
      </c>
      <c r="AU103" s="272">
        <v>0</v>
      </c>
      <c r="AV103" s="272">
        <v>0</v>
      </c>
      <c r="AW103" s="272">
        <v>0</v>
      </c>
      <c r="AX103" s="272">
        <v>0</v>
      </c>
      <c r="AY103" s="272">
        <v>0</v>
      </c>
      <c r="AZ103" s="272">
        <v>12</v>
      </c>
      <c r="BA103" s="272">
        <v>12</v>
      </c>
      <c r="BB103" s="272">
        <v>12</v>
      </c>
      <c r="BC103" s="272">
        <v>59</v>
      </c>
      <c r="BD103" s="272">
        <v>59</v>
      </c>
      <c r="BE103" s="272">
        <v>55</v>
      </c>
      <c r="BF103" s="272">
        <v>3</v>
      </c>
      <c r="BG103" s="272">
        <v>0</v>
      </c>
      <c r="BH103" s="272"/>
      <c r="BI103" s="272"/>
      <c r="BJ103" s="272"/>
      <c r="BK103" s="272"/>
      <c r="BL103" s="272"/>
      <c r="BM103" s="272"/>
      <c r="BN103" s="272"/>
      <c r="BO103" s="272"/>
      <c r="BP103" s="272"/>
      <c r="BQ103" s="272"/>
      <c r="BR103" s="272"/>
      <c r="BS103" s="272"/>
      <c r="BT103" s="272"/>
      <c r="BU103" s="272"/>
      <c r="BV103" s="272"/>
      <c r="BW103" s="272"/>
      <c r="BX103" s="272"/>
      <c r="BY103" s="272"/>
      <c r="BZ103" s="272"/>
      <c r="CA103" s="272"/>
      <c r="CB103" s="272"/>
      <c r="CC103" s="272"/>
      <c r="CD103" s="272"/>
      <c r="CE103" s="272"/>
      <c r="CF103" s="272"/>
      <c r="CG103" s="272"/>
      <c r="CH103" s="272"/>
      <c r="CI103" s="272">
        <f t="shared" si="11"/>
        <v>56</v>
      </c>
      <c r="CJ103" s="272">
        <f t="shared" si="12"/>
        <v>56</v>
      </c>
      <c r="CK103" s="272">
        <f t="shared" si="13"/>
        <v>36</v>
      </c>
      <c r="CL103" s="272">
        <f t="shared" si="14"/>
        <v>20</v>
      </c>
      <c r="CM103" s="272">
        <f t="shared" si="15"/>
        <v>0</v>
      </c>
      <c r="CN103" s="272">
        <f t="shared" si="16"/>
        <v>0</v>
      </c>
      <c r="CO103" s="272">
        <f t="shared" si="17"/>
        <v>2</v>
      </c>
      <c r="CP103" s="272">
        <f t="shared" si="18"/>
        <v>2</v>
      </c>
      <c r="CQ103" s="272">
        <v>0</v>
      </c>
      <c r="CR103" s="272">
        <f t="shared" si="19"/>
        <v>0</v>
      </c>
      <c r="CS103" s="272">
        <f t="shared" si="20"/>
        <v>0</v>
      </c>
      <c r="CT103" s="272">
        <v>33</v>
      </c>
      <c r="CU103" s="272">
        <v>32</v>
      </c>
      <c r="CV103" s="272">
        <v>32</v>
      </c>
      <c r="CW103" s="272">
        <v>104</v>
      </c>
      <c r="CX103" s="272">
        <v>103</v>
      </c>
      <c r="CY103" s="272">
        <v>99</v>
      </c>
    </row>
    <row r="104" spans="1:103">
      <c r="A104" s="272" t="s">
        <v>111</v>
      </c>
      <c r="B104" s="272">
        <v>0</v>
      </c>
      <c r="C104" s="272">
        <v>0</v>
      </c>
      <c r="D104" s="272">
        <v>0</v>
      </c>
      <c r="E104" s="272">
        <v>0</v>
      </c>
      <c r="F104" s="272">
        <v>0</v>
      </c>
      <c r="G104" s="272">
        <v>0</v>
      </c>
      <c r="H104" s="272">
        <v>0</v>
      </c>
      <c r="I104" s="272">
        <v>0</v>
      </c>
      <c r="J104" s="272">
        <v>0</v>
      </c>
      <c r="K104" s="272">
        <v>0</v>
      </c>
      <c r="L104" s="272">
        <v>2</v>
      </c>
      <c r="M104" s="272">
        <v>0</v>
      </c>
      <c r="N104" s="272">
        <v>0</v>
      </c>
      <c r="O104" s="272">
        <v>0</v>
      </c>
      <c r="P104" s="272">
        <v>0</v>
      </c>
      <c r="Q104" s="272">
        <v>0</v>
      </c>
      <c r="R104" s="272">
        <v>0</v>
      </c>
      <c r="S104" s="272">
        <v>0</v>
      </c>
      <c r="T104" s="272">
        <v>0</v>
      </c>
      <c r="U104" s="272">
        <v>1761</v>
      </c>
      <c r="V104" s="272">
        <v>213</v>
      </c>
      <c r="W104" s="272">
        <v>126</v>
      </c>
      <c r="X104" s="272">
        <v>9</v>
      </c>
      <c r="Y104" s="272">
        <v>0</v>
      </c>
      <c r="Z104" s="272">
        <v>0</v>
      </c>
      <c r="AA104" s="272">
        <v>60</v>
      </c>
      <c r="AB104" s="272">
        <v>23</v>
      </c>
      <c r="AC104" s="272">
        <v>12</v>
      </c>
      <c r="AD104" s="272">
        <v>0</v>
      </c>
      <c r="AE104" s="272">
        <v>0</v>
      </c>
      <c r="AF104" s="272">
        <v>0</v>
      </c>
      <c r="AG104" s="272">
        <v>0</v>
      </c>
      <c r="AH104" s="272">
        <v>0</v>
      </c>
      <c r="AI104" s="272">
        <v>0</v>
      </c>
      <c r="AJ104" s="272">
        <v>0</v>
      </c>
      <c r="AK104" s="272">
        <v>0</v>
      </c>
      <c r="AL104" s="272">
        <v>0</v>
      </c>
      <c r="AM104" s="272">
        <v>0</v>
      </c>
      <c r="AN104" s="272">
        <v>0</v>
      </c>
      <c r="AO104" s="272">
        <v>0</v>
      </c>
      <c r="AP104" s="272">
        <v>0</v>
      </c>
      <c r="AQ104" s="272">
        <v>0</v>
      </c>
      <c r="AR104" s="272">
        <v>0</v>
      </c>
      <c r="AS104" s="272">
        <v>0</v>
      </c>
      <c r="AT104" s="272">
        <v>0</v>
      </c>
      <c r="AU104" s="272">
        <v>0</v>
      </c>
      <c r="AV104" s="272">
        <v>0</v>
      </c>
      <c r="AW104" s="272">
        <v>0</v>
      </c>
      <c r="AX104" s="272">
        <v>0</v>
      </c>
      <c r="AY104" s="272">
        <v>0</v>
      </c>
      <c r="AZ104" s="272">
        <v>12</v>
      </c>
      <c r="BA104" s="272">
        <v>12</v>
      </c>
      <c r="BB104" s="272">
        <v>12</v>
      </c>
      <c r="BC104" s="272">
        <v>60</v>
      </c>
      <c r="BD104" s="272">
        <v>59</v>
      </c>
      <c r="BE104" s="272">
        <v>58</v>
      </c>
      <c r="BF104" s="272">
        <v>5</v>
      </c>
      <c r="BG104" s="272">
        <v>0</v>
      </c>
      <c r="BH104" s="272"/>
      <c r="BI104" s="272"/>
      <c r="BJ104" s="272"/>
      <c r="BK104" s="272"/>
      <c r="BL104" s="272"/>
      <c r="BM104" s="272"/>
      <c r="BN104" s="272"/>
      <c r="BO104" s="272"/>
      <c r="BP104" s="272"/>
      <c r="BQ104" s="272"/>
      <c r="BR104" s="272"/>
      <c r="BS104" s="272"/>
      <c r="BT104" s="272"/>
      <c r="BU104" s="272"/>
      <c r="BV104" s="272"/>
      <c r="BW104" s="272"/>
      <c r="BX104" s="272"/>
      <c r="BY104" s="272"/>
      <c r="BZ104" s="272"/>
      <c r="CA104" s="272"/>
      <c r="CB104" s="272"/>
      <c r="CC104" s="272"/>
      <c r="CD104" s="272"/>
      <c r="CE104" s="272"/>
      <c r="CF104" s="272"/>
      <c r="CG104" s="272"/>
      <c r="CH104" s="272"/>
      <c r="CI104" s="272">
        <f t="shared" si="11"/>
        <v>60</v>
      </c>
      <c r="CJ104" s="272">
        <f t="shared" si="12"/>
        <v>60</v>
      </c>
      <c r="CK104" s="272">
        <f t="shared" si="13"/>
        <v>37</v>
      </c>
      <c r="CL104" s="272">
        <f t="shared" si="14"/>
        <v>23</v>
      </c>
      <c r="CM104" s="272">
        <f t="shared" si="15"/>
        <v>0</v>
      </c>
      <c r="CN104" s="272">
        <f t="shared" si="16"/>
        <v>0</v>
      </c>
      <c r="CO104" s="272">
        <f t="shared" si="17"/>
        <v>2</v>
      </c>
      <c r="CP104" s="272">
        <f t="shared" si="18"/>
        <v>2</v>
      </c>
      <c r="CQ104" s="272">
        <v>0</v>
      </c>
      <c r="CR104" s="272">
        <f t="shared" si="19"/>
        <v>0</v>
      </c>
      <c r="CS104" s="272">
        <f t="shared" si="20"/>
        <v>0</v>
      </c>
      <c r="CT104" s="272">
        <v>33</v>
      </c>
      <c r="CU104" s="272">
        <v>32</v>
      </c>
      <c r="CV104" s="272">
        <v>32</v>
      </c>
      <c r="CW104" s="272">
        <v>104</v>
      </c>
      <c r="CX104" s="272">
        <v>102</v>
      </c>
      <c r="CY104" s="272">
        <v>101</v>
      </c>
    </row>
    <row r="105" spans="1:103">
      <c r="A105" s="272" t="s">
        <v>112</v>
      </c>
      <c r="B105" s="272">
        <v>0</v>
      </c>
      <c r="C105" s="272">
        <v>0</v>
      </c>
      <c r="D105" s="272">
        <v>0</v>
      </c>
      <c r="E105" s="272">
        <v>0</v>
      </c>
      <c r="F105" s="272">
        <v>0</v>
      </c>
      <c r="G105" s="272">
        <v>0</v>
      </c>
      <c r="H105" s="272">
        <v>0</v>
      </c>
      <c r="I105" s="272">
        <v>0</v>
      </c>
      <c r="J105" s="272">
        <v>0</v>
      </c>
      <c r="K105" s="272">
        <v>0</v>
      </c>
      <c r="L105" s="272">
        <v>0</v>
      </c>
      <c r="M105" s="272">
        <v>0</v>
      </c>
      <c r="N105" s="272">
        <v>0</v>
      </c>
      <c r="O105" s="272">
        <v>0</v>
      </c>
      <c r="P105" s="272">
        <v>0</v>
      </c>
      <c r="Q105" s="272">
        <v>0</v>
      </c>
      <c r="R105" s="272">
        <v>0</v>
      </c>
      <c r="S105" s="272">
        <v>0</v>
      </c>
      <c r="T105" s="272">
        <v>0</v>
      </c>
      <c r="U105" s="272">
        <v>1717</v>
      </c>
      <c r="V105" s="272">
        <v>231</v>
      </c>
      <c r="W105" s="272">
        <v>122</v>
      </c>
      <c r="X105" s="272">
        <v>12</v>
      </c>
      <c r="Y105" s="272">
        <v>0</v>
      </c>
      <c r="Z105" s="272">
        <v>0</v>
      </c>
      <c r="AA105" s="272">
        <v>72</v>
      </c>
      <c r="AB105" s="272">
        <v>22</v>
      </c>
      <c r="AC105" s="272">
        <v>7</v>
      </c>
      <c r="AD105" s="272">
        <v>0</v>
      </c>
      <c r="AE105" s="272">
        <v>0</v>
      </c>
      <c r="AF105" s="272">
        <v>0</v>
      </c>
      <c r="AG105" s="272">
        <v>0</v>
      </c>
      <c r="AH105" s="272">
        <v>0</v>
      </c>
      <c r="AI105" s="272">
        <v>0</v>
      </c>
      <c r="AJ105" s="272">
        <v>0</v>
      </c>
      <c r="AK105" s="272">
        <v>0</v>
      </c>
      <c r="AL105" s="272">
        <v>0</v>
      </c>
      <c r="AM105" s="272">
        <v>0</v>
      </c>
      <c r="AN105" s="272">
        <v>0</v>
      </c>
      <c r="AO105" s="272">
        <v>0</v>
      </c>
      <c r="AP105" s="272">
        <v>0</v>
      </c>
      <c r="AQ105" s="272">
        <v>0</v>
      </c>
      <c r="AR105" s="272">
        <v>0</v>
      </c>
      <c r="AS105" s="272">
        <v>0</v>
      </c>
      <c r="AT105" s="272">
        <v>0</v>
      </c>
      <c r="AU105" s="272">
        <v>0</v>
      </c>
      <c r="AV105" s="272">
        <v>0</v>
      </c>
      <c r="AW105" s="272">
        <v>0</v>
      </c>
      <c r="AX105" s="272">
        <v>0</v>
      </c>
      <c r="AY105" s="272">
        <v>0</v>
      </c>
      <c r="AZ105" s="272">
        <v>12</v>
      </c>
      <c r="BA105" s="272">
        <v>12</v>
      </c>
      <c r="BB105" s="272">
        <v>12</v>
      </c>
      <c r="BC105" s="272">
        <v>59</v>
      </c>
      <c r="BD105" s="272">
        <v>59</v>
      </c>
      <c r="BE105" s="272">
        <v>58</v>
      </c>
      <c r="BF105" s="272">
        <v>2</v>
      </c>
      <c r="BG105" s="272">
        <v>0</v>
      </c>
      <c r="BH105" s="272"/>
      <c r="BI105" s="272"/>
      <c r="BJ105" s="272"/>
      <c r="BK105" s="272"/>
      <c r="BL105" s="272"/>
      <c r="BM105" s="272"/>
      <c r="BN105" s="272"/>
      <c r="BO105" s="272"/>
      <c r="BP105" s="272"/>
      <c r="BQ105" s="272"/>
      <c r="BR105" s="272"/>
      <c r="BS105" s="272"/>
      <c r="BT105" s="272"/>
      <c r="BU105" s="272"/>
      <c r="BV105" s="272"/>
      <c r="BW105" s="272"/>
      <c r="BX105" s="272"/>
      <c r="BY105" s="272"/>
      <c r="BZ105" s="272"/>
      <c r="CA105" s="272"/>
      <c r="CB105" s="272"/>
      <c r="CC105" s="272"/>
      <c r="CD105" s="272"/>
      <c r="CE105" s="272"/>
      <c r="CF105" s="272"/>
      <c r="CG105" s="272"/>
      <c r="CH105" s="272"/>
      <c r="CI105" s="272">
        <f t="shared" si="11"/>
        <v>72</v>
      </c>
      <c r="CJ105" s="272">
        <f t="shared" si="12"/>
        <v>72</v>
      </c>
      <c r="CK105" s="272">
        <f t="shared" si="13"/>
        <v>50</v>
      </c>
      <c r="CL105" s="272">
        <f t="shared" si="14"/>
        <v>22</v>
      </c>
      <c r="CM105" s="272">
        <f t="shared" si="15"/>
        <v>0</v>
      </c>
      <c r="CN105" s="272">
        <f t="shared" si="16"/>
        <v>0</v>
      </c>
      <c r="CO105" s="272">
        <f t="shared" si="17"/>
        <v>0</v>
      </c>
      <c r="CP105" s="272">
        <f t="shared" si="18"/>
        <v>0</v>
      </c>
      <c r="CQ105" s="272">
        <v>0</v>
      </c>
      <c r="CR105" s="272">
        <f t="shared" si="19"/>
        <v>0</v>
      </c>
      <c r="CS105" s="272">
        <f t="shared" si="20"/>
        <v>0</v>
      </c>
      <c r="CT105" s="272">
        <v>33</v>
      </c>
      <c r="CU105" s="272">
        <v>33</v>
      </c>
      <c r="CV105" s="272">
        <v>33</v>
      </c>
      <c r="CW105" s="272">
        <v>104</v>
      </c>
      <c r="CX105" s="272">
        <v>104</v>
      </c>
      <c r="CY105" s="272">
        <v>103</v>
      </c>
    </row>
    <row r="106" spans="1:103">
      <c r="A106" s="272" t="s">
        <v>113</v>
      </c>
      <c r="B106" s="272">
        <v>0</v>
      </c>
      <c r="C106" s="272">
        <v>0</v>
      </c>
      <c r="D106" s="272">
        <v>0</v>
      </c>
      <c r="E106" s="272">
        <v>0</v>
      </c>
      <c r="F106" s="272">
        <v>0</v>
      </c>
      <c r="G106" s="272">
        <v>0</v>
      </c>
      <c r="H106" s="272">
        <v>0</v>
      </c>
      <c r="I106" s="272">
        <v>0</v>
      </c>
      <c r="J106" s="272">
        <v>0</v>
      </c>
      <c r="K106" s="272">
        <v>0</v>
      </c>
      <c r="L106" s="272">
        <v>0</v>
      </c>
      <c r="M106" s="272">
        <v>0</v>
      </c>
      <c r="N106" s="272">
        <v>0</v>
      </c>
      <c r="O106" s="272">
        <v>0</v>
      </c>
      <c r="P106" s="272">
        <v>0</v>
      </c>
      <c r="Q106" s="272">
        <v>0</v>
      </c>
      <c r="R106" s="272">
        <v>0</v>
      </c>
      <c r="S106" s="272">
        <v>0</v>
      </c>
      <c r="T106" s="272">
        <v>0</v>
      </c>
      <c r="U106" s="272">
        <v>1871</v>
      </c>
      <c r="V106" s="272">
        <v>219</v>
      </c>
      <c r="W106" s="272">
        <v>156</v>
      </c>
      <c r="X106" s="272">
        <v>11</v>
      </c>
      <c r="Y106" s="272">
        <v>0</v>
      </c>
      <c r="Z106" s="272">
        <v>0</v>
      </c>
      <c r="AA106" s="272">
        <v>64</v>
      </c>
      <c r="AB106" s="272">
        <v>24</v>
      </c>
      <c r="AC106" s="272">
        <v>13</v>
      </c>
      <c r="AD106" s="272">
        <v>0</v>
      </c>
      <c r="AE106" s="272">
        <v>0</v>
      </c>
      <c r="AF106" s="272">
        <v>0</v>
      </c>
      <c r="AG106" s="272">
        <v>0</v>
      </c>
      <c r="AH106" s="272">
        <v>0</v>
      </c>
      <c r="AI106" s="272">
        <v>0</v>
      </c>
      <c r="AJ106" s="272">
        <v>0</v>
      </c>
      <c r="AK106" s="272">
        <v>0</v>
      </c>
      <c r="AL106" s="272">
        <v>0</v>
      </c>
      <c r="AM106" s="272">
        <v>0</v>
      </c>
      <c r="AN106" s="272">
        <v>0</v>
      </c>
      <c r="AO106" s="272">
        <v>0</v>
      </c>
      <c r="AP106" s="272">
        <v>0</v>
      </c>
      <c r="AQ106" s="272">
        <v>0</v>
      </c>
      <c r="AR106" s="272">
        <v>0</v>
      </c>
      <c r="AS106" s="272">
        <v>0</v>
      </c>
      <c r="AT106" s="272">
        <v>0</v>
      </c>
      <c r="AU106" s="272">
        <v>0</v>
      </c>
      <c r="AV106" s="272">
        <v>0</v>
      </c>
      <c r="AW106" s="272">
        <v>0</v>
      </c>
      <c r="AX106" s="272">
        <v>0</v>
      </c>
      <c r="AY106" s="272">
        <v>0</v>
      </c>
      <c r="AZ106" s="272">
        <v>12</v>
      </c>
      <c r="BA106" s="272">
        <v>12</v>
      </c>
      <c r="BB106" s="272">
        <v>12</v>
      </c>
      <c r="BC106" s="272">
        <v>59</v>
      </c>
      <c r="BD106" s="272">
        <v>59</v>
      </c>
      <c r="BE106" s="272">
        <v>58</v>
      </c>
      <c r="BF106" s="272">
        <v>0</v>
      </c>
      <c r="BG106" s="272">
        <v>0</v>
      </c>
      <c r="BH106" s="272"/>
      <c r="BI106" s="272"/>
      <c r="BJ106" s="272"/>
      <c r="BK106" s="272"/>
      <c r="BL106" s="272"/>
      <c r="BM106" s="272"/>
      <c r="BN106" s="272"/>
      <c r="BO106" s="272"/>
      <c r="BP106" s="272"/>
      <c r="BQ106" s="272"/>
      <c r="BR106" s="272"/>
      <c r="BS106" s="272"/>
      <c r="BT106" s="272"/>
      <c r="BU106" s="272"/>
      <c r="BV106" s="272"/>
      <c r="BW106" s="272"/>
      <c r="BX106" s="272"/>
      <c r="BY106" s="272"/>
      <c r="BZ106" s="272"/>
      <c r="CA106" s="272"/>
      <c r="CB106" s="272"/>
      <c r="CC106" s="272"/>
      <c r="CD106" s="272"/>
      <c r="CE106" s="272"/>
      <c r="CF106" s="272"/>
      <c r="CG106" s="272"/>
      <c r="CH106" s="272"/>
      <c r="CI106" s="272">
        <f t="shared" si="11"/>
        <v>64</v>
      </c>
      <c r="CJ106" s="272">
        <f t="shared" si="12"/>
        <v>64</v>
      </c>
      <c r="CK106" s="272">
        <f t="shared" si="13"/>
        <v>40</v>
      </c>
      <c r="CL106" s="272">
        <f t="shared" si="14"/>
        <v>24</v>
      </c>
      <c r="CM106" s="272">
        <f t="shared" si="15"/>
        <v>0</v>
      </c>
      <c r="CN106" s="272">
        <f t="shared" si="16"/>
        <v>0</v>
      </c>
      <c r="CO106" s="272">
        <f t="shared" si="17"/>
        <v>0</v>
      </c>
      <c r="CP106" s="272">
        <f t="shared" si="18"/>
        <v>0</v>
      </c>
      <c r="CQ106" s="272">
        <v>0</v>
      </c>
      <c r="CR106" s="272">
        <f t="shared" si="19"/>
        <v>0</v>
      </c>
      <c r="CS106" s="272">
        <f t="shared" si="20"/>
        <v>0</v>
      </c>
      <c r="CT106" s="272">
        <v>33</v>
      </c>
      <c r="CU106" s="272">
        <v>33</v>
      </c>
      <c r="CV106" s="272">
        <v>33</v>
      </c>
      <c r="CW106" s="272">
        <v>104</v>
      </c>
      <c r="CX106" s="272">
        <v>104</v>
      </c>
      <c r="CY106" s="272">
        <v>103</v>
      </c>
    </row>
    <row r="107" spans="1:103">
      <c r="A107" s="272" t="s">
        <v>114</v>
      </c>
      <c r="B107" s="272">
        <v>0</v>
      </c>
      <c r="C107" s="272">
        <v>0</v>
      </c>
      <c r="D107" s="272">
        <v>0</v>
      </c>
      <c r="E107" s="272">
        <v>0</v>
      </c>
      <c r="F107" s="272">
        <v>0</v>
      </c>
      <c r="G107" s="272">
        <v>0</v>
      </c>
      <c r="H107" s="272">
        <v>0</v>
      </c>
      <c r="I107" s="272">
        <v>0</v>
      </c>
      <c r="J107" s="272">
        <v>0</v>
      </c>
      <c r="K107" s="272">
        <v>0</v>
      </c>
      <c r="L107" s="272">
        <v>1</v>
      </c>
      <c r="M107" s="272">
        <v>0</v>
      </c>
      <c r="N107" s="272">
        <v>0</v>
      </c>
      <c r="O107" s="272">
        <v>0</v>
      </c>
      <c r="P107" s="272">
        <v>0</v>
      </c>
      <c r="Q107" s="272">
        <v>0</v>
      </c>
      <c r="R107" s="272">
        <v>0</v>
      </c>
      <c r="S107" s="272">
        <v>0</v>
      </c>
      <c r="T107" s="272">
        <v>0</v>
      </c>
      <c r="U107" s="272">
        <v>1928</v>
      </c>
      <c r="V107" s="272">
        <v>229</v>
      </c>
      <c r="W107" s="272">
        <v>203</v>
      </c>
      <c r="X107" s="272">
        <v>13</v>
      </c>
      <c r="Y107" s="272">
        <v>0</v>
      </c>
      <c r="Z107" s="272">
        <v>0</v>
      </c>
      <c r="AA107" s="272">
        <v>89</v>
      </c>
      <c r="AB107" s="272">
        <v>29</v>
      </c>
      <c r="AC107" s="272">
        <v>12</v>
      </c>
      <c r="AD107" s="272">
        <v>0</v>
      </c>
      <c r="AE107" s="272">
        <v>0</v>
      </c>
      <c r="AF107" s="272">
        <v>0</v>
      </c>
      <c r="AG107" s="272">
        <v>0</v>
      </c>
      <c r="AH107" s="272">
        <v>0</v>
      </c>
      <c r="AI107" s="272">
        <v>0</v>
      </c>
      <c r="AJ107" s="272">
        <v>0</v>
      </c>
      <c r="AK107" s="272">
        <v>0</v>
      </c>
      <c r="AL107" s="272">
        <v>0</v>
      </c>
      <c r="AM107" s="272">
        <v>0</v>
      </c>
      <c r="AN107" s="272">
        <v>0</v>
      </c>
      <c r="AO107" s="272">
        <v>0</v>
      </c>
      <c r="AP107" s="272">
        <v>0</v>
      </c>
      <c r="AQ107" s="272">
        <v>0</v>
      </c>
      <c r="AR107" s="272">
        <v>0</v>
      </c>
      <c r="AS107" s="272">
        <v>0</v>
      </c>
      <c r="AT107" s="272">
        <v>0</v>
      </c>
      <c r="AU107" s="272">
        <v>0</v>
      </c>
      <c r="AV107" s="272">
        <v>0</v>
      </c>
      <c r="AW107" s="272">
        <v>0</v>
      </c>
      <c r="AX107" s="272">
        <v>0</v>
      </c>
      <c r="AY107" s="272">
        <v>0</v>
      </c>
      <c r="AZ107" s="272">
        <v>12</v>
      </c>
      <c r="BA107" s="272">
        <v>12</v>
      </c>
      <c r="BB107" s="272">
        <v>12</v>
      </c>
      <c r="BC107" s="272">
        <v>59</v>
      </c>
      <c r="BD107" s="272">
        <v>59</v>
      </c>
      <c r="BE107" s="272">
        <v>59</v>
      </c>
      <c r="BF107" s="272">
        <v>4</v>
      </c>
      <c r="BG107" s="272">
        <v>0</v>
      </c>
      <c r="BH107" s="272"/>
      <c r="BI107" s="272"/>
      <c r="BJ107" s="272"/>
      <c r="BK107" s="272"/>
      <c r="BL107" s="272"/>
      <c r="BM107" s="272"/>
      <c r="BN107" s="272"/>
      <c r="BO107" s="272"/>
      <c r="BP107" s="272"/>
      <c r="BQ107" s="272"/>
      <c r="BR107" s="272"/>
      <c r="BS107" s="272"/>
      <c r="BT107" s="272"/>
      <c r="BU107" s="272"/>
      <c r="BV107" s="272"/>
      <c r="BW107" s="272"/>
      <c r="BX107" s="272"/>
      <c r="BY107" s="272"/>
      <c r="BZ107" s="272"/>
      <c r="CA107" s="272"/>
      <c r="CB107" s="272"/>
      <c r="CC107" s="272"/>
      <c r="CD107" s="272"/>
      <c r="CE107" s="272"/>
      <c r="CF107" s="272"/>
      <c r="CG107" s="272"/>
      <c r="CH107" s="272"/>
      <c r="CI107" s="272">
        <f t="shared" si="11"/>
        <v>89</v>
      </c>
      <c r="CJ107" s="272">
        <f t="shared" si="12"/>
        <v>89</v>
      </c>
      <c r="CK107" s="272">
        <f t="shared" si="13"/>
        <v>60</v>
      </c>
      <c r="CL107" s="272">
        <f t="shared" si="14"/>
        <v>29</v>
      </c>
      <c r="CM107" s="272">
        <f t="shared" si="15"/>
        <v>0</v>
      </c>
      <c r="CN107" s="272">
        <f t="shared" si="16"/>
        <v>0</v>
      </c>
      <c r="CO107" s="272">
        <f t="shared" si="17"/>
        <v>1</v>
      </c>
      <c r="CP107" s="272">
        <f t="shared" si="18"/>
        <v>1</v>
      </c>
      <c r="CQ107" s="272">
        <v>0</v>
      </c>
      <c r="CR107" s="272">
        <f t="shared" si="19"/>
        <v>0</v>
      </c>
      <c r="CS107" s="272">
        <f t="shared" si="20"/>
        <v>0</v>
      </c>
      <c r="CT107" s="272">
        <v>33</v>
      </c>
      <c r="CU107" s="272">
        <v>33</v>
      </c>
      <c r="CV107" s="272">
        <v>32</v>
      </c>
      <c r="CW107" s="272">
        <v>104</v>
      </c>
      <c r="CX107" s="272">
        <v>104</v>
      </c>
      <c r="CY107" s="272">
        <v>103</v>
      </c>
    </row>
    <row r="108" spans="1:103">
      <c r="A108" s="272" t="s">
        <v>115</v>
      </c>
      <c r="B108" s="272">
        <v>0</v>
      </c>
      <c r="C108" s="272">
        <v>0</v>
      </c>
      <c r="D108" s="272">
        <v>0</v>
      </c>
      <c r="E108" s="272">
        <v>0</v>
      </c>
      <c r="F108" s="272">
        <v>0</v>
      </c>
      <c r="G108" s="272">
        <v>0</v>
      </c>
      <c r="H108" s="272">
        <v>0</v>
      </c>
      <c r="I108" s="272">
        <v>0</v>
      </c>
      <c r="J108" s="272">
        <v>0</v>
      </c>
      <c r="K108" s="272">
        <v>0</v>
      </c>
      <c r="L108" s="272">
        <v>1</v>
      </c>
      <c r="M108" s="272">
        <v>0</v>
      </c>
      <c r="N108" s="272">
        <v>0</v>
      </c>
      <c r="O108" s="272">
        <v>0</v>
      </c>
      <c r="P108" s="272">
        <v>0</v>
      </c>
      <c r="Q108" s="272">
        <v>0</v>
      </c>
      <c r="R108" s="272">
        <v>0</v>
      </c>
      <c r="S108" s="272">
        <v>0</v>
      </c>
      <c r="T108" s="272">
        <v>0</v>
      </c>
      <c r="U108" s="272">
        <v>1971</v>
      </c>
      <c r="V108" s="272">
        <v>286</v>
      </c>
      <c r="W108" s="272">
        <v>139</v>
      </c>
      <c r="X108" s="272">
        <v>6</v>
      </c>
      <c r="Y108" s="272">
        <v>0</v>
      </c>
      <c r="Z108" s="272">
        <v>0</v>
      </c>
      <c r="AA108" s="272">
        <v>100</v>
      </c>
      <c r="AB108" s="272">
        <v>26</v>
      </c>
      <c r="AC108" s="272">
        <v>15</v>
      </c>
      <c r="AD108" s="272">
        <v>0</v>
      </c>
      <c r="AE108" s="272">
        <v>0</v>
      </c>
      <c r="AF108" s="272">
        <v>0</v>
      </c>
      <c r="AG108" s="272">
        <v>0</v>
      </c>
      <c r="AH108" s="272">
        <v>0</v>
      </c>
      <c r="AI108" s="272">
        <v>0</v>
      </c>
      <c r="AJ108" s="272">
        <v>0</v>
      </c>
      <c r="AK108" s="272">
        <v>0</v>
      </c>
      <c r="AL108" s="272">
        <v>0</v>
      </c>
      <c r="AM108" s="272">
        <v>0</v>
      </c>
      <c r="AN108" s="272">
        <v>0</v>
      </c>
      <c r="AO108" s="272">
        <v>0</v>
      </c>
      <c r="AP108" s="272">
        <v>0</v>
      </c>
      <c r="AQ108" s="272">
        <v>0</v>
      </c>
      <c r="AR108" s="272">
        <v>0</v>
      </c>
      <c r="AS108" s="272">
        <v>0</v>
      </c>
      <c r="AT108" s="272">
        <v>0</v>
      </c>
      <c r="AU108" s="272">
        <v>0</v>
      </c>
      <c r="AV108" s="272">
        <v>0</v>
      </c>
      <c r="AW108" s="272">
        <v>0</v>
      </c>
      <c r="AX108" s="272">
        <v>0</v>
      </c>
      <c r="AY108" s="272">
        <v>0</v>
      </c>
      <c r="AZ108" s="272">
        <v>12</v>
      </c>
      <c r="BA108" s="272">
        <v>12</v>
      </c>
      <c r="BB108" s="272">
        <v>12</v>
      </c>
      <c r="BC108" s="272">
        <v>59</v>
      </c>
      <c r="BD108" s="272">
        <v>58</v>
      </c>
      <c r="BE108" s="272">
        <v>55</v>
      </c>
      <c r="BF108" s="272">
        <v>1</v>
      </c>
      <c r="BG108" s="272">
        <v>0</v>
      </c>
      <c r="BH108" s="272"/>
      <c r="BI108" s="272"/>
      <c r="BJ108" s="272"/>
      <c r="BK108" s="272"/>
      <c r="BL108" s="272"/>
      <c r="BM108" s="272"/>
      <c r="BN108" s="272"/>
      <c r="BO108" s="272"/>
      <c r="BP108" s="272"/>
      <c r="BQ108" s="272"/>
      <c r="BR108" s="272"/>
      <c r="BS108" s="272"/>
      <c r="BT108" s="272"/>
      <c r="BU108" s="272"/>
      <c r="BV108" s="272"/>
      <c r="BW108" s="272"/>
      <c r="BX108" s="272"/>
      <c r="BY108" s="272"/>
      <c r="BZ108" s="272"/>
      <c r="CA108" s="272"/>
      <c r="CB108" s="272"/>
      <c r="CC108" s="272"/>
      <c r="CD108" s="272"/>
      <c r="CE108" s="272"/>
      <c r="CF108" s="272"/>
      <c r="CG108" s="272"/>
      <c r="CH108" s="272"/>
      <c r="CI108" s="272">
        <f t="shared" si="11"/>
        <v>100</v>
      </c>
      <c r="CJ108" s="272">
        <f t="shared" si="12"/>
        <v>100</v>
      </c>
      <c r="CK108" s="272">
        <f t="shared" si="13"/>
        <v>74</v>
      </c>
      <c r="CL108" s="272">
        <f t="shared" si="14"/>
        <v>26</v>
      </c>
      <c r="CM108" s="272">
        <f t="shared" si="15"/>
        <v>0</v>
      </c>
      <c r="CN108" s="272">
        <f t="shared" si="16"/>
        <v>0</v>
      </c>
      <c r="CO108" s="272">
        <f t="shared" si="17"/>
        <v>1</v>
      </c>
      <c r="CP108" s="272">
        <f t="shared" si="18"/>
        <v>1</v>
      </c>
      <c r="CQ108" s="272">
        <v>0</v>
      </c>
      <c r="CR108" s="272">
        <f t="shared" si="19"/>
        <v>0</v>
      </c>
      <c r="CS108" s="272">
        <f t="shared" si="20"/>
        <v>0</v>
      </c>
      <c r="CT108" s="272">
        <v>33</v>
      </c>
      <c r="CU108" s="272">
        <v>33</v>
      </c>
      <c r="CV108" s="272">
        <v>33</v>
      </c>
      <c r="CW108" s="272">
        <v>104</v>
      </c>
      <c r="CX108" s="272">
        <v>103</v>
      </c>
      <c r="CY108" s="272">
        <v>100</v>
      </c>
    </row>
    <row r="109" spans="1:103">
      <c r="A109" s="272" t="s">
        <v>116</v>
      </c>
      <c r="B109" s="272">
        <v>0</v>
      </c>
      <c r="C109" s="272">
        <v>0</v>
      </c>
      <c r="D109" s="272">
        <v>0</v>
      </c>
      <c r="E109" s="272">
        <v>0</v>
      </c>
      <c r="F109" s="272">
        <v>0</v>
      </c>
      <c r="G109" s="272">
        <v>0</v>
      </c>
      <c r="H109" s="272">
        <v>0</v>
      </c>
      <c r="I109" s="272">
        <v>0</v>
      </c>
      <c r="J109" s="272">
        <v>1</v>
      </c>
      <c r="K109" s="272">
        <v>0</v>
      </c>
      <c r="L109" s="272">
        <v>0</v>
      </c>
      <c r="M109" s="272">
        <v>0</v>
      </c>
      <c r="N109" s="272">
        <v>0</v>
      </c>
      <c r="O109" s="272">
        <v>0</v>
      </c>
      <c r="P109" s="272">
        <v>0</v>
      </c>
      <c r="Q109" s="272">
        <v>0</v>
      </c>
      <c r="R109" s="272">
        <v>0</v>
      </c>
      <c r="S109" s="272">
        <v>0</v>
      </c>
      <c r="T109" s="272">
        <v>0</v>
      </c>
      <c r="U109" s="272">
        <v>2398</v>
      </c>
      <c r="V109" s="272">
        <v>398</v>
      </c>
      <c r="W109" s="272">
        <v>205</v>
      </c>
      <c r="X109" s="272">
        <v>11</v>
      </c>
      <c r="Y109" s="272">
        <v>0</v>
      </c>
      <c r="Z109" s="272">
        <v>0</v>
      </c>
      <c r="AA109" s="272">
        <v>86</v>
      </c>
      <c r="AB109" s="272">
        <v>24</v>
      </c>
      <c r="AC109" s="272">
        <v>11</v>
      </c>
      <c r="AD109" s="272">
        <v>0</v>
      </c>
      <c r="AE109" s="272">
        <v>0</v>
      </c>
      <c r="AF109" s="272">
        <v>0</v>
      </c>
      <c r="AG109" s="272">
        <v>0</v>
      </c>
      <c r="AH109" s="272">
        <v>0</v>
      </c>
      <c r="AI109" s="272">
        <v>0</v>
      </c>
      <c r="AJ109" s="272">
        <v>0</v>
      </c>
      <c r="AK109" s="272">
        <v>0</v>
      </c>
      <c r="AL109" s="272">
        <v>0</v>
      </c>
      <c r="AM109" s="272">
        <v>0</v>
      </c>
      <c r="AN109" s="272">
        <v>0</v>
      </c>
      <c r="AO109" s="272">
        <v>0</v>
      </c>
      <c r="AP109" s="272">
        <v>0</v>
      </c>
      <c r="AQ109" s="272">
        <v>0</v>
      </c>
      <c r="AR109" s="272">
        <v>0</v>
      </c>
      <c r="AS109" s="272">
        <v>0</v>
      </c>
      <c r="AT109" s="272">
        <v>0</v>
      </c>
      <c r="AU109" s="272">
        <v>0</v>
      </c>
      <c r="AV109" s="272">
        <v>0</v>
      </c>
      <c r="AW109" s="272">
        <v>0</v>
      </c>
      <c r="AX109" s="272">
        <v>0</v>
      </c>
      <c r="AY109" s="272">
        <v>0</v>
      </c>
      <c r="AZ109" s="272">
        <v>12</v>
      </c>
      <c r="BA109" s="272">
        <v>12</v>
      </c>
      <c r="BB109" s="272">
        <v>12</v>
      </c>
      <c r="BC109" s="272">
        <v>59</v>
      </c>
      <c r="BD109" s="272">
        <v>58</v>
      </c>
      <c r="BE109" s="272">
        <v>58</v>
      </c>
      <c r="BF109" s="272">
        <v>1</v>
      </c>
      <c r="BG109" s="272">
        <v>0</v>
      </c>
      <c r="BH109" s="272"/>
      <c r="BI109" s="272"/>
      <c r="BJ109" s="272"/>
      <c r="BK109" s="272"/>
      <c r="BL109" s="272"/>
      <c r="BM109" s="272"/>
      <c r="BN109" s="272"/>
      <c r="BO109" s="272"/>
      <c r="BP109" s="272"/>
      <c r="BQ109" s="272"/>
      <c r="BR109" s="272"/>
      <c r="BS109" s="272"/>
      <c r="BT109" s="272"/>
      <c r="BU109" s="272"/>
      <c r="BV109" s="272"/>
      <c r="BW109" s="272"/>
      <c r="BX109" s="272"/>
      <c r="BY109" s="272"/>
      <c r="BZ109" s="272"/>
      <c r="CA109" s="272"/>
      <c r="CB109" s="272"/>
      <c r="CC109" s="272"/>
      <c r="CD109" s="272"/>
      <c r="CE109" s="272"/>
      <c r="CF109" s="272"/>
      <c r="CG109" s="272"/>
      <c r="CH109" s="272"/>
      <c r="CI109" s="272">
        <f t="shared" si="11"/>
        <v>86</v>
      </c>
      <c r="CJ109" s="272">
        <f t="shared" si="12"/>
        <v>86</v>
      </c>
      <c r="CK109" s="272">
        <f t="shared" si="13"/>
        <v>62</v>
      </c>
      <c r="CL109" s="272">
        <f t="shared" si="14"/>
        <v>24</v>
      </c>
      <c r="CM109" s="272">
        <f t="shared" si="15"/>
        <v>0</v>
      </c>
      <c r="CN109" s="272">
        <f t="shared" si="16"/>
        <v>0</v>
      </c>
      <c r="CO109" s="272">
        <f t="shared" si="17"/>
        <v>0</v>
      </c>
      <c r="CP109" s="272">
        <f t="shared" si="18"/>
        <v>0</v>
      </c>
      <c r="CQ109" s="272">
        <v>0</v>
      </c>
      <c r="CR109" s="272">
        <f t="shared" si="19"/>
        <v>1</v>
      </c>
      <c r="CS109" s="272">
        <f t="shared" si="20"/>
        <v>1</v>
      </c>
      <c r="CT109" s="272">
        <v>33</v>
      </c>
      <c r="CU109" s="272">
        <v>33</v>
      </c>
      <c r="CV109" s="272">
        <v>33</v>
      </c>
      <c r="CW109" s="272">
        <v>104</v>
      </c>
      <c r="CX109" s="272">
        <v>103</v>
      </c>
      <c r="CY109" s="272">
        <v>103</v>
      </c>
    </row>
    <row r="110" spans="1:103">
      <c r="A110" s="272" t="s">
        <v>117</v>
      </c>
      <c r="B110" s="272">
        <v>0</v>
      </c>
      <c r="C110" s="272">
        <v>0</v>
      </c>
      <c r="D110" s="272">
        <v>0</v>
      </c>
      <c r="E110" s="272">
        <v>0</v>
      </c>
      <c r="F110" s="272">
        <v>0</v>
      </c>
      <c r="G110" s="272">
        <v>0</v>
      </c>
      <c r="H110" s="272">
        <v>0</v>
      </c>
      <c r="I110" s="272">
        <v>0</v>
      </c>
      <c r="J110" s="272">
        <v>0</v>
      </c>
      <c r="K110" s="272">
        <v>0</v>
      </c>
      <c r="L110" s="272">
        <v>1</v>
      </c>
      <c r="M110" s="272">
        <v>0</v>
      </c>
      <c r="N110" s="272">
        <v>0</v>
      </c>
      <c r="O110" s="272">
        <v>0</v>
      </c>
      <c r="P110" s="272">
        <v>0</v>
      </c>
      <c r="Q110" s="272">
        <v>0</v>
      </c>
      <c r="R110" s="272">
        <v>0</v>
      </c>
      <c r="S110" s="272">
        <v>0</v>
      </c>
      <c r="T110" s="272">
        <v>0</v>
      </c>
      <c r="U110" s="272">
        <v>2552</v>
      </c>
      <c r="V110" s="272">
        <v>341</v>
      </c>
      <c r="W110" s="272">
        <v>212</v>
      </c>
      <c r="X110" s="272">
        <v>25</v>
      </c>
      <c r="Y110" s="272">
        <v>0</v>
      </c>
      <c r="Z110" s="272">
        <v>0</v>
      </c>
      <c r="AA110" s="272">
        <v>147</v>
      </c>
      <c r="AB110" s="272">
        <v>50</v>
      </c>
      <c r="AC110" s="272">
        <v>13</v>
      </c>
      <c r="AD110" s="272">
        <v>0</v>
      </c>
      <c r="AE110" s="272">
        <v>0</v>
      </c>
      <c r="AF110" s="272">
        <v>0</v>
      </c>
      <c r="AG110" s="272">
        <v>0</v>
      </c>
      <c r="AH110" s="272">
        <v>0</v>
      </c>
      <c r="AI110" s="272">
        <v>0</v>
      </c>
      <c r="AJ110" s="272">
        <v>0</v>
      </c>
      <c r="AK110" s="272">
        <v>0</v>
      </c>
      <c r="AL110" s="272">
        <v>0</v>
      </c>
      <c r="AM110" s="272">
        <v>0</v>
      </c>
      <c r="AN110" s="272">
        <v>0</v>
      </c>
      <c r="AO110" s="272">
        <v>0</v>
      </c>
      <c r="AP110" s="272">
        <v>0</v>
      </c>
      <c r="AQ110" s="272">
        <v>0</v>
      </c>
      <c r="AR110" s="272">
        <v>0</v>
      </c>
      <c r="AS110" s="272">
        <v>0</v>
      </c>
      <c r="AT110" s="272">
        <v>0</v>
      </c>
      <c r="AU110" s="272">
        <v>0</v>
      </c>
      <c r="AV110" s="272">
        <v>0</v>
      </c>
      <c r="AW110" s="272">
        <v>0</v>
      </c>
      <c r="AX110" s="272">
        <v>0</v>
      </c>
      <c r="AY110" s="272">
        <v>0</v>
      </c>
      <c r="AZ110" s="272">
        <v>12</v>
      </c>
      <c r="BA110" s="272">
        <v>12</v>
      </c>
      <c r="BB110" s="272">
        <v>12</v>
      </c>
      <c r="BC110" s="272">
        <v>59</v>
      </c>
      <c r="BD110" s="272">
        <v>58</v>
      </c>
      <c r="BE110" s="272">
        <v>58</v>
      </c>
      <c r="BF110" s="272">
        <v>2</v>
      </c>
      <c r="BG110" s="272">
        <v>0</v>
      </c>
      <c r="BH110" s="272"/>
      <c r="BI110" s="272"/>
      <c r="BJ110" s="272"/>
      <c r="BK110" s="272"/>
      <c r="BL110" s="272"/>
      <c r="BM110" s="272"/>
      <c r="BN110" s="272"/>
      <c r="BO110" s="272"/>
      <c r="BP110" s="272"/>
      <c r="BQ110" s="272"/>
      <c r="BR110" s="272"/>
      <c r="BS110" s="272"/>
      <c r="BT110" s="272"/>
      <c r="BU110" s="272"/>
      <c r="BV110" s="272"/>
      <c r="BW110" s="272"/>
      <c r="BX110" s="272"/>
      <c r="BY110" s="272"/>
      <c r="BZ110" s="272"/>
      <c r="CA110" s="272"/>
      <c r="CB110" s="272"/>
      <c r="CC110" s="272"/>
      <c r="CD110" s="272"/>
      <c r="CE110" s="272"/>
      <c r="CF110" s="272"/>
      <c r="CG110" s="272"/>
      <c r="CH110" s="272"/>
      <c r="CI110" s="272">
        <f t="shared" si="11"/>
        <v>147</v>
      </c>
      <c r="CJ110" s="272">
        <f t="shared" si="12"/>
        <v>147</v>
      </c>
      <c r="CK110" s="272">
        <f t="shared" si="13"/>
        <v>97</v>
      </c>
      <c r="CL110" s="272">
        <f t="shared" si="14"/>
        <v>50</v>
      </c>
      <c r="CM110" s="272">
        <f t="shared" si="15"/>
        <v>0</v>
      </c>
      <c r="CN110" s="272">
        <f t="shared" si="16"/>
        <v>0</v>
      </c>
      <c r="CO110" s="272">
        <f t="shared" si="17"/>
        <v>1</v>
      </c>
      <c r="CP110" s="272">
        <f t="shared" si="18"/>
        <v>1</v>
      </c>
      <c r="CQ110" s="272">
        <v>0</v>
      </c>
      <c r="CR110" s="272">
        <f t="shared" si="19"/>
        <v>0</v>
      </c>
      <c r="CS110" s="272">
        <f t="shared" si="20"/>
        <v>0</v>
      </c>
      <c r="CT110" s="272">
        <v>33</v>
      </c>
      <c r="CU110" s="272">
        <v>32</v>
      </c>
      <c r="CV110" s="272">
        <v>32</v>
      </c>
      <c r="CW110" s="272">
        <v>104</v>
      </c>
      <c r="CX110" s="272">
        <v>102</v>
      </c>
      <c r="CY110" s="272">
        <v>102</v>
      </c>
    </row>
    <row r="111" spans="1:103">
      <c r="A111" s="272" t="s">
        <v>118</v>
      </c>
      <c r="B111" s="272">
        <v>0</v>
      </c>
      <c r="C111" s="272">
        <v>0</v>
      </c>
      <c r="D111" s="272">
        <v>0</v>
      </c>
      <c r="E111" s="272">
        <v>0</v>
      </c>
      <c r="F111" s="272">
        <v>0</v>
      </c>
      <c r="G111" s="272">
        <v>0</v>
      </c>
      <c r="H111" s="272">
        <v>0</v>
      </c>
      <c r="I111" s="272">
        <v>0</v>
      </c>
      <c r="J111" s="272">
        <v>0</v>
      </c>
      <c r="K111" s="272">
        <v>0</v>
      </c>
      <c r="L111" s="272">
        <v>0</v>
      </c>
      <c r="M111" s="272">
        <v>0</v>
      </c>
      <c r="N111" s="272">
        <v>0</v>
      </c>
      <c r="O111" s="272">
        <v>0</v>
      </c>
      <c r="P111" s="272">
        <v>0</v>
      </c>
      <c r="Q111" s="272">
        <v>0</v>
      </c>
      <c r="R111" s="272">
        <v>0</v>
      </c>
      <c r="S111" s="272">
        <v>0</v>
      </c>
      <c r="T111" s="272">
        <v>0</v>
      </c>
      <c r="U111" s="272">
        <v>2908</v>
      </c>
      <c r="V111" s="272">
        <v>351</v>
      </c>
      <c r="W111" s="272">
        <v>247</v>
      </c>
      <c r="X111" s="272">
        <v>16</v>
      </c>
      <c r="Y111" s="272">
        <v>0</v>
      </c>
      <c r="Z111" s="272">
        <v>0</v>
      </c>
      <c r="AA111" s="272">
        <v>146</v>
      </c>
      <c r="AB111" s="272">
        <v>48</v>
      </c>
      <c r="AC111" s="272">
        <v>18</v>
      </c>
      <c r="AD111" s="272">
        <v>0</v>
      </c>
      <c r="AE111" s="272">
        <v>0</v>
      </c>
      <c r="AF111" s="272">
        <v>0</v>
      </c>
      <c r="AG111" s="272">
        <v>0</v>
      </c>
      <c r="AH111" s="272">
        <v>0</v>
      </c>
      <c r="AI111" s="272">
        <v>0</v>
      </c>
      <c r="AJ111" s="272">
        <v>0</v>
      </c>
      <c r="AK111" s="272">
        <v>0</v>
      </c>
      <c r="AL111" s="272">
        <v>0</v>
      </c>
      <c r="AM111" s="272">
        <v>0</v>
      </c>
      <c r="AN111" s="272">
        <v>0</v>
      </c>
      <c r="AO111" s="272">
        <v>0</v>
      </c>
      <c r="AP111" s="272">
        <v>0</v>
      </c>
      <c r="AQ111" s="272">
        <v>0</v>
      </c>
      <c r="AR111" s="272">
        <v>0</v>
      </c>
      <c r="AS111" s="272">
        <v>0</v>
      </c>
      <c r="AT111" s="272">
        <v>0</v>
      </c>
      <c r="AU111" s="272">
        <v>0</v>
      </c>
      <c r="AV111" s="272">
        <v>0</v>
      </c>
      <c r="AW111" s="272">
        <v>0</v>
      </c>
      <c r="AX111" s="272">
        <v>0</v>
      </c>
      <c r="AY111" s="272">
        <v>0</v>
      </c>
      <c r="AZ111" s="272">
        <v>12</v>
      </c>
      <c r="BA111" s="272">
        <v>12</v>
      </c>
      <c r="BB111" s="272">
        <v>12</v>
      </c>
      <c r="BC111" s="272">
        <v>59</v>
      </c>
      <c r="BD111" s="272">
        <v>59</v>
      </c>
      <c r="BE111" s="272">
        <v>57</v>
      </c>
      <c r="BF111" s="272">
        <v>0</v>
      </c>
      <c r="BG111" s="272">
        <v>0</v>
      </c>
      <c r="BH111" s="272"/>
      <c r="BI111" s="272"/>
      <c r="BJ111" s="272"/>
      <c r="BK111" s="272"/>
      <c r="BL111" s="272"/>
      <c r="BM111" s="272"/>
      <c r="BN111" s="272"/>
      <c r="BO111" s="272"/>
      <c r="BP111" s="272"/>
      <c r="BQ111" s="272"/>
      <c r="BR111" s="272"/>
      <c r="BS111" s="272"/>
      <c r="BT111" s="272"/>
      <c r="BU111" s="272"/>
      <c r="BV111" s="272"/>
      <c r="BW111" s="272"/>
      <c r="BX111" s="272"/>
      <c r="BY111" s="272"/>
      <c r="BZ111" s="272"/>
      <c r="CA111" s="272"/>
      <c r="CB111" s="272"/>
      <c r="CC111" s="272"/>
      <c r="CD111" s="272"/>
      <c r="CE111" s="272"/>
      <c r="CF111" s="272"/>
      <c r="CG111" s="272"/>
      <c r="CH111" s="272"/>
      <c r="CI111" s="272">
        <f t="shared" si="11"/>
        <v>146</v>
      </c>
      <c r="CJ111" s="272">
        <f t="shared" si="12"/>
        <v>146</v>
      </c>
      <c r="CK111" s="272">
        <f t="shared" si="13"/>
        <v>98</v>
      </c>
      <c r="CL111" s="272">
        <f t="shared" si="14"/>
        <v>48</v>
      </c>
      <c r="CM111" s="272">
        <f t="shared" si="15"/>
        <v>0</v>
      </c>
      <c r="CN111" s="272">
        <f t="shared" si="16"/>
        <v>0</v>
      </c>
      <c r="CO111" s="272">
        <f t="shared" si="17"/>
        <v>0</v>
      </c>
      <c r="CP111" s="272">
        <f t="shared" si="18"/>
        <v>0</v>
      </c>
      <c r="CQ111" s="272">
        <v>0</v>
      </c>
      <c r="CR111" s="272">
        <f t="shared" si="19"/>
        <v>0</v>
      </c>
      <c r="CS111" s="272">
        <f t="shared" si="20"/>
        <v>0</v>
      </c>
      <c r="CT111" s="272">
        <v>33</v>
      </c>
      <c r="CU111" s="272">
        <v>32</v>
      </c>
      <c r="CV111" s="272">
        <v>31</v>
      </c>
      <c r="CW111" s="272">
        <v>104</v>
      </c>
      <c r="CX111" s="272">
        <v>103</v>
      </c>
      <c r="CY111" s="272">
        <v>100</v>
      </c>
    </row>
    <row r="112" spans="1:103">
      <c r="A112" s="272" t="s">
        <v>119</v>
      </c>
      <c r="B112" s="272">
        <v>0</v>
      </c>
      <c r="C112" s="272">
        <v>0</v>
      </c>
      <c r="D112" s="272">
        <v>0</v>
      </c>
      <c r="E112" s="272">
        <v>0</v>
      </c>
      <c r="F112" s="272">
        <v>0</v>
      </c>
      <c r="G112" s="272">
        <v>0</v>
      </c>
      <c r="H112" s="272">
        <v>0</v>
      </c>
      <c r="I112" s="272">
        <v>0</v>
      </c>
      <c r="J112" s="272">
        <v>0</v>
      </c>
      <c r="K112" s="272">
        <v>0</v>
      </c>
      <c r="L112" s="272">
        <v>1</v>
      </c>
      <c r="M112" s="272">
        <v>0</v>
      </c>
      <c r="N112" s="272">
        <v>0</v>
      </c>
      <c r="O112" s="272">
        <v>0</v>
      </c>
      <c r="P112" s="272">
        <v>0</v>
      </c>
      <c r="Q112" s="272">
        <v>0</v>
      </c>
      <c r="R112" s="272">
        <v>0</v>
      </c>
      <c r="S112" s="272">
        <v>0</v>
      </c>
      <c r="T112" s="272">
        <v>0</v>
      </c>
      <c r="U112" s="272">
        <v>2965</v>
      </c>
      <c r="V112" s="272">
        <v>355</v>
      </c>
      <c r="W112" s="272">
        <v>284</v>
      </c>
      <c r="X112" s="272">
        <v>22</v>
      </c>
      <c r="Y112" s="272">
        <v>0</v>
      </c>
      <c r="Z112" s="272">
        <v>0</v>
      </c>
      <c r="AA112" s="272">
        <v>146</v>
      </c>
      <c r="AB112" s="272">
        <v>55</v>
      </c>
      <c r="AC112" s="272">
        <v>17</v>
      </c>
      <c r="AD112" s="272">
        <v>0</v>
      </c>
      <c r="AE112" s="272">
        <v>0</v>
      </c>
      <c r="AF112" s="272">
        <v>0</v>
      </c>
      <c r="AG112" s="272">
        <v>0</v>
      </c>
      <c r="AH112" s="272">
        <v>0</v>
      </c>
      <c r="AI112" s="272">
        <v>0</v>
      </c>
      <c r="AJ112" s="272">
        <v>0</v>
      </c>
      <c r="AK112" s="272">
        <v>0</v>
      </c>
      <c r="AL112" s="272">
        <v>0</v>
      </c>
      <c r="AM112" s="272">
        <v>0</v>
      </c>
      <c r="AN112" s="272">
        <v>0</v>
      </c>
      <c r="AO112" s="272">
        <v>0</v>
      </c>
      <c r="AP112" s="272">
        <v>0</v>
      </c>
      <c r="AQ112" s="272">
        <v>0</v>
      </c>
      <c r="AR112" s="272">
        <v>0</v>
      </c>
      <c r="AS112" s="272">
        <v>0</v>
      </c>
      <c r="AT112" s="272">
        <v>0</v>
      </c>
      <c r="AU112" s="272">
        <v>0</v>
      </c>
      <c r="AV112" s="272">
        <v>0</v>
      </c>
      <c r="AW112" s="272">
        <v>0</v>
      </c>
      <c r="AX112" s="272">
        <v>0</v>
      </c>
      <c r="AY112" s="272">
        <v>0</v>
      </c>
      <c r="AZ112" s="272">
        <v>12</v>
      </c>
      <c r="BA112" s="272">
        <v>12</v>
      </c>
      <c r="BB112" s="272">
        <v>12</v>
      </c>
      <c r="BC112" s="272">
        <v>59</v>
      </c>
      <c r="BD112" s="272">
        <v>58</v>
      </c>
      <c r="BE112" s="272">
        <v>58</v>
      </c>
      <c r="BF112" s="272">
        <v>0</v>
      </c>
      <c r="BG112" s="272">
        <v>0</v>
      </c>
      <c r="BH112" s="272"/>
      <c r="BI112" s="272"/>
      <c r="BJ112" s="272"/>
      <c r="BK112" s="272"/>
      <c r="BL112" s="272"/>
      <c r="BM112" s="272"/>
      <c r="BN112" s="272"/>
      <c r="BO112" s="272"/>
      <c r="BP112" s="272"/>
      <c r="BQ112" s="272"/>
      <c r="BR112" s="272"/>
      <c r="BS112" s="272"/>
      <c r="BT112" s="272"/>
      <c r="BU112" s="272"/>
      <c r="BV112" s="272"/>
      <c r="BW112" s="272"/>
      <c r="BX112" s="272"/>
      <c r="BY112" s="272"/>
      <c r="BZ112" s="272"/>
      <c r="CA112" s="272"/>
      <c r="CB112" s="272"/>
      <c r="CC112" s="272"/>
      <c r="CD112" s="272"/>
      <c r="CE112" s="272"/>
      <c r="CF112" s="272"/>
      <c r="CG112" s="272"/>
      <c r="CH112" s="272"/>
      <c r="CI112" s="272">
        <f t="shared" si="11"/>
        <v>146</v>
      </c>
      <c r="CJ112" s="272">
        <f t="shared" si="12"/>
        <v>146</v>
      </c>
      <c r="CK112" s="272">
        <f t="shared" si="13"/>
        <v>91</v>
      </c>
      <c r="CL112" s="272">
        <f t="shared" si="14"/>
        <v>55</v>
      </c>
      <c r="CM112" s="272">
        <f t="shared" si="15"/>
        <v>0</v>
      </c>
      <c r="CN112" s="272">
        <f t="shared" si="16"/>
        <v>0</v>
      </c>
      <c r="CO112" s="272">
        <f t="shared" si="17"/>
        <v>1</v>
      </c>
      <c r="CP112" s="272">
        <f t="shared" si="18"/>
        <v>1</v>
      </c>
      <c r="CQ112" s="272">
        <v>0</v>
      </c>
      <c r="CR112" s="272">
        <f t="shared" si="19"/>
        <v>0</v>
      </c>
      <c r="CS112" s="272">
        <f t="shared" si="20"/>
        <v>0</v>
      </c>
      <c r="CT112" s="272">
        <v>33</v>
      </c>
      <c r="CU112" s="272">
        <v>32</v>
      </c>
      <c r="CV112" s="272">
        <v>32</v>
      </c>
      <c r="CW112" s="272">
        <v>104</v>
      </c>
      <c r="CX112" s="272">
        <v>102</v>
      </c>
      <c r="CY112" s="272">
        <v>102</v>
      </c>
    </row>
    <row r="113" spans="1:103">
      <c r="A113" s="272" t="s">
        <v>120</v>
      </c>
      <c r="B113" s="272">
        <v>0</v>
      </c>
      <c r="C113" s="272">
        <v>0</v>
      </c>
      <c r="D113" s="272">
        <v>0</v>
      </c>
      <c r="E113" s="272">
        <v>0</v>
      </c>
      <c r="F113" s="272">
        <v>0</v>
      </c>
      <c r="G113" s="272">
        <v>0</v>
      </c>
      <c r="H113" s="272">
        <v>0</v>
      </c>
      <c r="I113" s="272">
        <v>0</v>
      </c>
      <c r="J113" s="272">
        <v>0</v>
      </c>
      <c r="K113" s="272">
        <v>0</v>
      </c>
      <c r="L113" s="272">
        <v>0</v>
      </c>
      <c r="M113" s="272">
        <v>0</v>
      </c>
      <c r="N113" s="272">
        <v>0</v>
      </c>
      <c r="O113" s="272">
        <v>0</v>
      </c>
      <c r="P113" s="272">
        <v>0</v>
      </c>
      <c r="Q113" s="272">
        <v>0</v>
      </c>
      <c r="R113" s="272">
        <v>0</v>
      </c>
      <c r="S113" s="272">
        <v>0</v>
      </c>
      <c r="T113" s="272">
        <v>0</v>
      </c>
      <c r="U113" s="272">
        <v>3379</v>
      </c>
      <c r="V113" s="272">
        <v>425</v>
      </c>
      <c r="W113" s="272">
        <v>357</v>
      </c>
      <c r="X113" s="272">
        <v>22</v>
      </c>
      <c r="Y113" s="272">
        <v>0</v>
      </c>
      <c r="Z113" s="272">
        <v>0</v>
      </c>
      <c r="AA113" s="272">
        <v>198</v>
      </c>
      <c r="AB113" s="272">
        <v>88</v>
      </c>
      <c r="AC113" s="272">
        <v>23</v>
      </c>
      <c r="AD113" s="272">
        <v>0</v>
      </c>
      <c r="AE113" s="272">
        <v>0</v>
      </c>
      <c r="AF113" s="272">
        <v>0</v>
      </c>
      <c r="AG113" s="272">
        <v>0</v>
      </c>
      <c r="AH113" s="272">
        <v>0</v>
      </c>
      <c r="AI113" s="272">
        <v>0</v>
      </c>
      <c r="AJ113" s="272">
        <v>0</v>
      </c>
      <c r="AK113" s="272">
        <v>0</v>
      </c>
      <c r="AL113" s="272">
        <v>0</v>
      </c>
      <c r="AM113" s="272">
        <v>0</v>
      </c>
      <c r="AN113" s="272">
        <v>0</v>
      </c>
      <c r="AO113" s="272">
        <v>0</v>
      </c>
      <c r="AP113" s="272">
        <v>0</v>
      </c>
      <c r="AQ113" s="272">
        <v>0</v>
      </c>
      <c r="AR113" s="272">
        <v>0</v>
      </c>
      <c r="AS113" s="272">
        <v>0</v>
      </c>
      <c r="AT113" s="272">
        <v>0</v>
      </c>
      <c r="AU113" s="272">
        <v>0</v>
      </c>
      <c r="AV113" s="272">
        <v>0</v>
      </c>
      <c r="AW113" s="272">
        <v>0</v>
      </c>
      <c r="AX113" s="272">
        <v>0</v>
      </c>
      <c r="AY113" s="272">
        <v>0</v>
      </c>
      <c r="AZ113" s="272">
        <v>12</v>
      </c>
      <c r="BA113" s="272">
        <v>12</v>
      </c>
      <c r="BB113" s="272">
        <v>12</v>
      </c>
      <c r="BC113" s="272">
        <v>59</v>
      </c>
      <c r="BD113" s="272">
        <v>58</v>
      </c>
      <c r="BE113" s="272">
        <v>58</v>
      </c>
      <c r="BF113" s="272">
        <v>0</v>
      </c>
      <c r="BG113" s="272">
        <v>0</v>
      </c>
      <c r="BH113" s="272"/>
      <c r="BI113" s="272"/>
      <c r="BJ113" s="272"/>
      <c r="BK113" s="272"/>
      <c r="BL113" s="272"/>
      <c r="BM113" s="272"/>
      <c r="BN113" s="272"/>
      <c r="BO113" s="272"/>
      <c r="BP113" s="272"/>
      <c r="BQ113" s="272"/>
      <c r="BR113" s="272"/>
      <c r="BS113" s="272"/>
      <c r="BT113" s="272"/>
      <c r="BU113" s="272"/>
      <c r="BV113" s="272"/>
      <c r="BW113" s="272"/>
      <c r="BX113" s="272"/>
      <c r="BY113" s="272"/>
      <c r="BZ113" s="272"/>
      <c r="CA113" s="272"/>
      <c r="CB113" s="272"/>
      <c r="CC113" s="272"/>
      <c r="CD113" s="272"/>
      <c r="CE113" s="272"/>
      <c r="CF113" s="272"/>
      <c r="CG113" s="272"/>
      <c r="CH113" s="272"/>
      <c r="CI113" s="272">
        <f t="shared" si="11"/>
        <v>198</v>
      </c>
      <c r="CJ113" s="272">
        <f t="shared" si="12"/>
        <v>198</v>
      </c>
      <c r="CK113" s="272">
        <f t="shared" si="13"/>
        <v>110</v>
      </c>
      <c r="CL113" s="272">
        <f t="shared" si="14"/>
        <v>88</v>
      </c>
      <c r="CM113" s="272">
        <f t="shared" si="15"/>
        <v>0</v>
      </c>
      <c r="CN113" s="272">
        <f t="shared" si="16"/>
        <v>0</v>
      </c>
      <c r="CO113" s="272">
        <f t="shared" si="17"/>
        <v>0</v>
      </c>
      <c r="CP113" s="272">
        <f t="shared" si="18"/>
        <v>0</v>
      </c>
      <c r="CQ113" s="272">
        <v>0</v>
      </c>
      <c r="CR113" s="272">
        <f t="shared" si="19"/>
        <v>0</v>
      </c>
      <c r="CS113" s="272">
        <f t="shared" si="20"/>
        <v>0</v>
      </c>
      <c r="CT113" s="272">
        <v>33</v>
      </c>
      <c r="CU113" s="272">
        <v>32</v>
      </c>
      <c r="CV113" s="272">
        <v>32</v>
      </c>
      <c r="CW113" s="272">
        <v>104</v>
      </c>
      <c r="CX113" s="272">
        <v>102</v>
      </c>
      <c r="CY113" s="272">
        <v>102</v>
      </c>
    </row>
    <row r="114" spans="1:103">
      <c r="A114" s="272" t="s">
        <v>121</v>
      </c>
      <c r="B114" s="272">
        <v>0</v>
      </c>
      <c r="C114" s="272">
        <v>0</v>
      </c>
      <c r="D114" s="272">
        <v>0</v>
      </c>
      <c r="E114" s="272">
        <v>0</v>
      </c>
      <c r="F114" s="272">
        <v>0</v>
      </c>
      <c r="G114" s="272">
        <v>0</v>
      </c>
      <c r="H114" s="272">
        <v>0</v>
      </c>
      <c r="I114" s="272">
        <v>0</v>
      </c>
      <c r="J114" s="272">
        <v>0</v>
      </c>
      <c r="K114" s="272">
        <v>0</v>
      </c>
      <c r="L114" s="272">
        <v>1</v>
      </c>
      <c r="M114" s="272">
        <v>0</v>
      </c>
      <c r="N114" s="272">
        <v>0</v>
      </c>
      <c r="O114" s="272">
        <v>0</v>
      </c>
      <c r="P114" s="272">
        <v>0</v>
      </c>
      <c r="Q114" s="272">
        <v>0</v>
      </c>
      <c r="R114" s="272">
        <v>0</v>
      </c>
      <c r="S114" s="272">
        <v>0</v>
      </c>
      <c r="T114" s="272">
        <v>0</v>
      </c>
      <c r="U114" s="272">
        <v>3375</v>
      </c>
      <c r="V114" s="272">
        <v>415</v>
      </c>
      <c r="W114" s="272">
        <v>265</v>
      </c>
      <c r="X114" s="272">
        <v>16</v>
      </c>
      <c r="Y114" s="272">
        <v>0</v>
      </c>
      <c r="Z114" s="272">
        <v>0</v>
      </c>
      <c r="AA114" s="272">
        <v>187</v>
      </c>
      <c r="AB114" s="272">
        <v>62</v>
      </c>
      <c r="AC114" s="272">
        <v>18</v>
      </c>
      <c r="AD114" s="272">
        <v>0</v>
      </c>
      <c r="AE114" s="272">
        <v>0</v>
      </c>
      <c r="AF114" s="272">
        <v>0</v>
      </c>
      <c r="AG114" s="272">
        <v>0</v>
      </c>
      <c r="AH114" s="272">
        <v>0</v>
      </c>
      <c r="AI114" s="272">
        <v>0</v>
      </c>
      <c r="AJ114" s="272">
        <v>0</v>
      </c>
      <c r="AK114" s="272">
        <v>0</v>
      </c>
      <c r="AL114" s="272">
        <v>0</v>
      </c>
      <c r="AM114" s="272">
        <v>0</v>
      </c>
      <c r="AN114" s="272">
        <v>0</v>
      </c>
      <c r="AO114" s="272">
        <v>0</v>
      </c>
      <c r="AP114" s="272">
        <v>0</v>
      </c>
      <c r="AQ114" s="272">
        <v>0</v>
      </c>
      <c r="AR114" s="272">
        <v>0</v>
      </c>
      <c r="AS114" s="272">
        <v>0</v>
      </c>
      <c r="AT114" s="272">
        <v>0</v>
      </c>
      <c r="AU114" s="272">
        <v>0</v>
      </c>
      <c r="AV114" s="272">
        <v>0</v>
      </c>
      <c r="AW114" s="272">
        <v>0</v>
      </c>
      <c r="AX114" s="272">
        <v>0</v>
      </c>
      <c r="AY114" s="272">
        <v>0</v>
      </c>
      <c r="AZ114" s="272">
        <v>12</v>
      </c>
      <c r="BA114" s="272">
        <v>12</v>
      </c>
      <c r="BB114" s="272">
        <v>12</v>
      </c>
      <c r="BC114" s="272">
        <v>59</v>
      </c>
      <c r="BD114" s="272">
        <v>59</v>
      </c>
      <c r="BE114" s="272">
        <v>58</v>
      </c>
      <c r="BF114" s="272">
        <v>0</v>
      </c>
      <c r="BG114" s="272">
        <v>0</v>
      </c>
      <c r="BH114" s="272"/>
      <c r="BI114" s="272"/>
      <c r="BJ114" s="272"/>
      <c r="BK114" s="272"/>
      <c r="BL114" s="272"/>
      <c r="BM114" s="272"/>
      <c r="BN114" s="272"/>
      <c r="BO114" s="272"/>
      <c r="BP114" s="272"/>
      <c r="BQ114" s="272"/>
      <c r="BR114" s="272"/>
      <c r="BS114" s="272"/>
      <c r="BT114" s="272"/>
      <c r="BU114" s="272"/>
      <c r="BV114" s="272"/>
      <c r="BW114" s="272"/>
      <c r="BX114" s="272"/>
      <c r="BY114" s="272"/>
      <c r="BZ114" s="272"/>
      <c r="CA114" s="272"/>
      <c r="CB114" s="272"/>
      <c r="CC114" s="272"/>
      <c r="CD114" s="272"/>
      <c r="CE114" s="272"/>
      <c r="CF114" s="272"/>
      <c r="CG114" s="272"/>
      <c r="CH114" s="272"/>
      <c r="CI114" s="272">
        <f t="shared" si="11"/>
        <v>187</v>
      </c>
      <c r="CJ114" s="272">
        <f t="shared" si="12"/>
        <v>187</v>
      </c>
      <c r="CK114" s="272">
        <f t="shared" si="13"/>
        <v>125</v>
      </c>
      <c r="CL114" s="272">
        <f t="shared" si="14"/>
        <v>62</v>
      </c>
      <c r="CM114" s="272">
        <f t="shared" si="15"/>
        <v>0</v>
      </c>
      <c r="CN114" s="272">
        <f t="shared" si="16"/>
        <v>0</v>
      </c>
      <c r="CO114" s="272">
        <f t="shared" si="17"/>
        <v>1</v>
      </c>
      <c r="CP114" s="272">
        <f t="shared" si="18"/>
        <v>1</v>
      </c>
      <c r="CQ114" s="272">
        <v>0</v>
      </c>
      <c r="CR114" s="272">
        <f t="shared" si="19"/>
        <v>0</v>
      </c>
      <c r="CS114" s="272">
        <f t="shared" si="20"/>
        <v>0</v>
      </c>
      <c r="CT114" s="272">
        <v>33</v>
      </c>
      <c r="CU114" s="272">
        <v>33</v>
      </c>
      <c r="CV114" s="272">
        <v>33</v>
      </c>
      <c r="CW114" s="272">
        <v>104</v>
      </c>
      <c r="CX114" s="272">
        <v>104</v>
      </c>
      <c r="CY114" s="272">
        <v>103</v>
      </c>
    </row>
    <row r="115" spans="1:103">
      <c r="A115" s="272" t="s">
        <v>122</v>
      </c>
      <c r="B115" s="272">
        <v>0</v>
      </c>
      <c r="C115" s="272">
        <v>0</v>
      </c>
      <c r="D115" s="272">
        <v>0</v>
      </c>
      <c r="E115" s="272">
        <v>0</v>
      </c>
      <c r="F115" s="272">
        <v>0</v>
      </c>
      <c r="G115" s="272">
        <v>0</v>
      </c>
      <c r="H115" s="272">
        <v>0</v>
      </c>
      <c r="I115" s="272">
        <v>0</v>
      </c>
      <c r="J115" s="272">
        <v>1</v>
      </c>
      <c r="K115" s="272">
        <v>0</v>
      </c>
      <c r="L115" s="272">
        <v>3</v>
      </c>
      <c r="M115" s="272">
        <v>0</v>
      </c>
      <c r="N115" s="272">
        <v>0</v>
      </c>
      <c r="O115" s="272">
        <v>0</v>
      </c>
      <c r="P115" s="272">
        <v>0</v>
      </c>
      <c r="Q115" s="272">
        <v>0</v>
      </c>
      <c r="R115" s="272">
        <v>0</v>
      </c>
      <c r="S115" s="272">
        <v>0</v>
      </c>
      <c r="T115" s="272">
        <v>0</v>
      </c>
      <c r="U115" s="272">
        <v>3410</v>
      </c>
      <c r="V115" s="272">
        <v>394</v>
      </c>
      <c r="W115" s="272">
        <v>340</v>
      </c>
      <c r="X115" s="272">
        <v>13</v>
      </c>
      <c r="Y115" s="272">
        <v>0</v>
      </c>
      <c r="Z115" s="272">
        <v>0</v>
      </c>
      <c r="AA115" s="272">
        <v>223</v>
      </c>
      <c r="AB115" s="272">
        <v>87</v>
      </c>
      <c r="AC115" s="272">
        <v>52</v>
      </c>
      <c r="AD115" s="272">
        <v>0</v>
      </c>
      <c r="AE115" s="272">
        <v>0</v>
      </c>
      <c r="AF115" s="272">
        <v>0</v>
      </c>
      <c r="AG115" s="272">
        <v>0</v>
      </c>
      <c r="AH115" s="272">
        <v>0</v>
      </c>
      <c r="AI115" s="272">
        <v>0</v>
      </c>
      <c r="AJ115" s="272">
        <v>0</v>
      </c>
      <c r="AK115" s="272">
        <v>0</v>
      </c>
      <c r="AL115" s="272">
        <v>0</v>
      </c>
      <c r="AM115" s="272">
        <v>0</v>
      </c>
      <c r="AN115" s="272">
        <v>0</v>
      </c>
      <c r="AO115" s="272">
        <v>0</v>
      </c>
      <c r="AP115" s="272">
        <v>0</v>
      </c>
      <c r="AQ115" s="272">
        <v>0</v>
      </c>
      <c r="AR115" s="272">
        <v>0</v>
      </c>
      <c r="AS115" s="272">
        <v>0</v>
      </c>
      <c r="AT115" s="272">
        <v>0</v>
      </c>
      <c r="AU115" s="272">
        <v>0</v>
      </c>
      <c r="AV115" s="272">
        <v>0</v>
      </c>
      <c r="AW115" s="272">
        <v>0</v>
      </c>
      <c r="AX115" s="272">
        <v>0</v>
      </c>
      <c r="AY115" s="272">
        <v>0</v>
      </c>
      <c r="AZ115" s="272">
        <v>12</v>
      </c>
      <c r="BA115" s="272">
        <v>12</v>
      </c>
      <c r="BB115" s="272">
        <v>12</v>
      </c>
      <c r="BC115" s="272">
        <v>59</v>
      </c>
      <c r="BD115" s="272">
        <v>59</v>
      </c>
      <c r="BE115" s="272">
        <v>59</v>
      </c>
      <c r="BF115" s="272">
        <v>0</v>
      </c>
      <c r="BG115" s="272">
        <v>0</v>
      </c>
      <c r="BH115" s="272"/>
      <c r="BI115" s="272"/>
      <c r="BJ115" s="272"/>
      <c r="BK115" s="272"/>
      <c r="BL115" s="272"/>
      <c r="BM115" s="272"/>
      <c r="BN115" s="272"/>
      <c r="BO115" s="272"/>
      <c r="BP115" s="272"/>
      <c r="BQ115" s="272"/>
      <c r="BR115" s="272"/>
      <c r="BS115" s="272"/>
      <c r="BT115" s="272"/>
      <c r="BU115" s="272"/>
      <c r="BV115" s="272"/>
      <c r="BW115" s="272"/>
      <c r="BX115" s="272"/>
      <c r="BY115" s="272"/>
      <c r="BZ115" s="272"/>
      <c r="CA115" s="272"/>
      <c r="CB115" s="272"/>
      <c r="CC115" s="272"/>
      <c r="CD115" s="272"/>
      <c r="CE115" s="272"/>
      <c r="CF115" s="272"/>
      <c r="CG115" s="272"/>
      <c r="CH115" s="272"/>
      <c r="CI115" s="272">
        <f t="shared" si="11"/>
        <v>223</v>
      </c>
      <c r="CJ115" s="272">
        <f t="shared" si="12"/>
        <v>223</v>
      </c>
      <c r="CK115" s="272">
        <f t="shared" si="13"/>
        <v>136</v>
      </c>
      <c r="CL115" s="272">
        <f t="shared" si="14"/>
        <v>87</v>
      </c>
      <c r="CM115" s="272">
        <f t="shared" si="15"/>
        <v>0</v>
      </c>
      <c r="CN115" s="272">
        <f t="shared" si="16"/>
        <v>0</v>
      </c>
      <c r="CO115" s="272">
        <f t="shared" si="17"/>
        <v>3</v>
      </c>
      <c r="CP115" s="272">
        <f t="shared" si="18"/>
        <v>3</v>
      </c>
      <c r="CQ115" s="272">
        <v>0</v>
      </c>
      <c r="CR115" s="272">
        <f t="shared" si="19"/>
        <v>1</v>
      </c>
      <c r="CS115" s="272">
        <f t="shared" si="20"/>
        <v>1</v>
      </c>
      <c r="CT115" s="272">
        <v>33</v>
      </c>
      <c r="CU115" s="272">
        <v>32</v>
      </c>
      <c r="CV115" s="272">
        <v>32</v>
      </c>
      <c r="CW115" s="272">
        <v>104</v>
      </c>
      <c r="CX115" s="272">
        <v>103</v>
      </c>
      <c r="CY115" s="272">
        <v>103</v>
      </c>
    </row>
    <row r="116" spans="1:103">
      <c r="A116" s="272" t="s">
        <v>123</v>
      </c>
      <c r="B116" s="272">
        <v>0</v>
      </c>
      <c r="C116" s="272">
        <v>0</v>
      </c>
      <c r="D116" s="272">
        <v>0</v>
      </c>
      <c r="E116" s="272">
        <v>0</v>
      </c>
      <c r="F116" s="272">
        <v>0</v>
      </c>
      <c r="G116" s="272">
        <v>0</v>
      </c>
      <c r="H116" s="272">
        <v>0</v>
      </c>
      <c r="I116" s="272">
        <v>0</v>
      </c>
      <c r="J116" s="272">
        <v>0</v>
      </c>
      <c r="K116" s="272">
        <v>0</v>
      </c>
      <c r="L116" s="272">
        <v>0</v>
      </c>
      <c r="M116" s="272">
        <v>0</v>
      </c>
      <c r="N116" s="272">
        <v>0</v>
      </c>
      <c r="O116" s="272">
        <v>0</v>
      </c>
      <c r="P116" s="272">
        <v>0</v>
      </c>
      <c r="Q116" s="272">
        <v>0</v>
      </c>
      <c r="R116" s="272">
        <v>0</v>
      </c>
      <c r="S116" s="272">
        <v>0</v>
      </c>
      <c r="T116" s="272">
        <v>0</v>
      </c>
      <c r="U116" s="272">
        <v>2900</v>
      </c>
      <c r="V116" s="272">
        <v>423</v>
      </c>
      <c r="W116" s="272">
        <v>238</v>
      </c>
      <c r="X116" s="272">
        <v>25</v>
      </c>
      <c r="Y116" s="272">
        <v>0</v>
      </c>
      <c r="Z116" s="272">
        <v>0</v>
      </c>
      <c r="AA116" s="272">
        <v>122</v>
      </c>
      <c r="AB116" s="272">
        <v>54</v>
      </c>
      <c r="AC116" s="272">
        <v>18</v>
      </c>
      <c r="AD116" s="272">
        <v>0</v>
      </c>
      <c r="AE116" s="272">
        <v>0</v>
      </c>
      <c r="AF116" s="272">
        <v>0</v>
      </c>
      <c r="AG116" s="272">
        <v>0</v>
      </c>
      <c r="AH116" s="272">
        <v>0</v>
      </c>
      <c r="AI116" s="272">
        <v>0</v>
      </c>
      <c r="AJ116" s="272">
        <v>0</v>
      </c>
      <c r="AK116" s="272">
        <v>0</v>
      </c>
      <c r="AL116" s="272">
        <v>0</v>
      </c>
      <c r="AM116" s="272">
        <v>0</v>
      </c>
      <c r="AN116" s="272">
        <v>0</v>
      </c>
      <c r="AO116" s="272">
        <v>0</v>
      </c>
      <c r="AP116" s="272">
        <v>0</v>
      </c>
      <c r="AQ116" s="272">
        <v>0</v>
      </c>
      <c r="AR116" s="272">
        <v>0</v>
      </c>
      <c r="AS116" s="272">
        <v>0</v>
      </c>
      <c r="AT116" s="272">
        <v>0</v>
      </c>
      <c r="AU116" s="272">
        <v>0</v>
      </c>
      <c r="AV116" s="272">
        <v>0</v>
      </c>
      <c r="AW116" s="272">
        <v>0</v>
      </c>
      <c r="AX116" s="272">
        <v>0</v>
      </c>
      <c r="AY116" s="272">
        <v>0</v>
      </c>
      <c r="AZ116" s="272">
        <v>12</v>
      </c>
      <c r="BA116" s="272">
        <v>12</v>
      </c>
      <c r="BB116" s="272">
        <v>12</v>
      </c>
      <c r="BC116" s="272">
        <v>59</v>
      </c>
      <c r="BD116" s="272">
        <v>59</v>
      </c>
      <c r="BE116" s="272">
        <v>59</v>
      </c>
      <c r="BF116" s="272">
        <v>2</v>
      </c>
      <c r="BG116" s="272">
        <v>0</v>
      </c>
      <c r="BH116" s="272"/>
      <c r="BI116" s="272"/>
      <c r="BJ116" s="272"/>
      <c r="BK116" s="272"/>
      <c r="BL116" s="272"/>
      <c r="BM116" s="272"/>
      <c r="BN116" s="272"/>
      <c r="BO116" s="272"/>
      <c r="BP116" s="272"/>
      <c r="BQ116" s="272"/>
      <c r="BR116" s="272"/>
      <c r="BS116" s="272"/>
      <c r="BT116" s="272"/>
      <c r="BU116" s="272"/>
      <c r="BV116" s="272"/>
      <c r="BW116" s="272"/>
      <c r="BX116" s="272"/>
      <c r="BY116" s="272"/>
      <c r="BZ116" s="272"/>
      <c r="CA116" s="272"/>
      <c r="CB116" s="272"/>
      <c r="CC116" s="272"/>
      <c r="CD116" s="272"/>
      <c r="CE116" s="272"/>
      <c r="CF116" s="272"/>
      <c r="CG116" s="272"/>
      <c r="CH116" s="272"/>
      <c r="CI116" s="272">
        <f t="shared" si="11"/>
        <v>122</v>
      </c>
      <c r="CJ116" s="272">
        <f t="shared" si="12"/>
        <v>122</v>
      </c>
      <c r="CK116" s="272">
        <f t="shared" si="13"/>
        <v>68</v>
      </c>
      <c r="CL116" s="272">
        <f t="shared" si="14"/>
        <v>54</v>
      </c>
      <c r="CM116" s="272">
        <f t="shared" si="15"/>
        <v>0</v>
      </c>
      <c r="CN116" s="272">
        <f t="shared" si="16"/>
        <v>0</v>
      </c>
      <c r="CO116" s="272">
        <f t="shared" si="17"/>
        <v>0</v>
      </c>
      <c r="CP116" s="272">
        <f t="shared" si="18"/>
        <v>0</v>
      </c>
      <c r="CQ116" s="272">
        <v>0</v>
      </c>
      <c r="CR116" s="272">
        <f t="shared" si="19"/>
        <v>0</v>
      </c>
      <c r="CS116" s="272">
        <f t="shared" si="20"/>
        <v>0</v>
      </c>
      <c r="CT116" s="272">
        <v>33</v>
      </c>
      <c r="CU116" s="272">
        <v>33</v>
      </c>
      <c r="CV116" s="272">
        <v>33</v>
      </c>
      <c r="CW116" s="272">
        <v>104</v>
      </c>
      <c r="CX116" s="272">
        <v>104</v>
      </c>
      <c r="CY116" s="272">
        <v>104</v>
      </c>
    </row>
    <row r="117" spans="1:103">
      <c r="A117" s="272" t="s">
        <v>124</v>
      </c>
      <c r="B117" s="272">
        <v>0</v>
      </c>
      <c r="C117" s="272">
        <v>0</v>
      </c>
      <c r="D117" s="272">
        <v>0</v>
      </c>
      <c r="E117" s="272">
        <v>0</v>
      </c>
      <c r="F117" s="272">
        <v>0</v>
      </c>
      <c r="G117" s="272">
        <v>0</v>
      </c>
      <c r="H117" s="272">
        <v>0</v>
      </c>
      <c r="I117" s="272">
        <v>0</v>
      </c>
      <c r="J117" s="272">
        <v>0</v>
      </c>
      <c r="K117" s="272">
        <v>0</v>
      </c>
      <c r="L117" s="272">
        <v>0</v>
      </c>
      <c r="M117" s="272">
        <v>0</v>
      </c>
      <c r="N117" s="272">
        <v>0</v>
      </c>
      <c r="O117" s="272">
        <v>0</v>
      </c>
      <c r="P117" s="272">
        <v>0</v>
      </c>
      <c r="Q117" s="272">
        <v>0</v>
      </c>
      <c r="R117" s="272">
        <v>0</v>
      </c>
      <c r="S117" s="272">
        <v>0</v>
      </c>
      <c r="T117" s="272">
        <v>0</v>
      </c>
      <c r="U117" s="272">
        <v>2556</v>
      </c>
      <c r="V117" s="272">
        <v>374</v>
      </c>
      <c r="W117" s="272">
        <v>205</v>
      </c>
      <c r="X117" s="272">
        <v>15</v>
      </c>
      <c r="Y117" s="272">
        <v>0</v>
      </c>
      <c r="Z117" s="272">
        <v>0</v>
      </c>
      <c r="AA117" s="272">
        <v>163</v>
      </c>
      <c r="AB117" s="272">
        <v>69</v>
      </c>
      <c r="AC117" s="272">
        <v>15</v>
      </c>
      <c r="AD117" s="272">
        <v>0</v>
      </c>
      <c r="AE117" s="272">
        <v>0</v>
      </c>
      <c r="AF117" s="272">
        <v>0</v>
      </c>
      <c r="AG117" s="272">
        <v>0</v>
      </c>
      <c r="AH117" s="272">
        <v>0</v>
      </c>
      <c r="AI117" s="272">
        <v>0</v>
      </c>
      <c r="AJ117" s="272">
        <v>0</v>
      </c>
      <c r="AK117" s="272">
        <v>0</v>
      </c>
      <c r="AL117" s="272">
        <v>0</v>
      </c>
      <c r="AM117" s="272">
        <v>0</v>
      </c>
      <c r="AN117" s="272">
        <v>0</v>
      </c>
      <c r="AO117" s="272">
        <v>0</v>
      </c>
      <c r="AP117" s="272">
        <v>0</v>
      </c>
      <c r="AQ117" s="272">
        <v>0</v>
      </c>
      <c r="AR117" s="272">
        <v>0</v>
      </c>
      <c r="AS117" s="272">
        <v>0</v>
      </c>
      <c r="AT117" s="272">
        <v>0</v>
      </c>
      <c r="AU117" s="272">
        <v>0</v>
      </c>
      <c r="AV117" s="272">
        <v>0</v>
      </c>
      <c r="AW117" s="272">
        <v>0</v>
      </c>
      <c r="AX117" s="272">
        <v>0</v>
      </c>
      <c r="AY117" s="272">
        <v>0</v>
      </c>
      <c r="AZ117" s="272">
        <v>12</v>
      </c>
      <c r="BA117" s="272">
        <v>12</v>
      </c>
      <c r="BB117" s="272">
        <v>12</v>
      </c>
      <c r="BC117" s="272">
        <v>59</v>
      </c>
      <c r="BD117" s="272">
        <v>59</v>
      </c>
      <c r="BE117" s="272">
        <v>58</v>
      </c>
      <c r="BF117" s="272">
        <v>1</v>
      </c>
      <c r="BG117" s="272">
        <v>0</v>
      </c>
      <c r="BH117" s="272"/>
      <c r="BI117" s="272"/>
      <c r="BJ117" s="272"/>
      <c r="BK117" s="272"/>
      <c r="BL117" s="272"/>
      <c r="BM117" s="272"/>
      <c r="BN117" s="272"/>
      <c r="BO117" s="272"/>
      <c r="BP117" s="272"/>
      <c r="BQ117" s="272"/>
      <c r="BR117" s="272"/>
      <c r="BS117" s="272"/>
      <c r="BT117" s="272"/>
      <c r="BU117" s="272"/>
      <c r="BV117" s="272"/>
      <c r="BW117" s="272"/>
      <c r="BX117" s="272"/>
      <c r="BY117" s="272"/>
      <c r="BZ117" s="272"/>
      <c r="CA117" s="272"/>
      <c r="CB117" s="272"/>
      <c r="CC117" s="272"/>
      <c r="CD117" s="272"/>
      <c r="CE117" s="272"/>
      <c r="CF117" s="272"/>
      <c r="CG117" s="272"/>
      <c r="CH117" s="272"/>
      <c r="CI117" s="272">
        <f t="shared" si="11"/>
        <v>163</v>
      </c>
      <c r="CJ117" s="272">
        <f t="shared" si="12"/>
        <v>163</v>
      </c>
      <c r="CK117" s="272">
        <f t="shared" si="13"/>
        <v>94</v>
      </c>
      <c r="CL117" s="272">
        <f t="shared" si="14"/>
        <v>69</v>
      </c>
      <c r="CM117" s="272">
        <f t="shared" si="15"/>
        <v>0</v>
      </c>
      <c r="CN117" s="272">
        <f t="shared" si="16"/>
        <v>0</v>
      </c>
      <c r="CO117" s="272">
        <f t="shared" si="17"/>
        <v>0</v>
      </c>
      <c r="CP117" s="272">
        <f t="shared" si="18"/>
        <v>0</v>
      </c>
      <c r="CQ117" s="272">
        <v>0</v>
      </c>
      <c r="CR117" s="272">
        <f t="shared" si="19"/>
        <v>0</v>
      </c>
      <c r="CS117" s="272">
        <f t="shared" si="20"/>
        <v>0</v>
      </c>
      <c r="CT117" s="272">
        <v>33</v>
      </c>
      <c r="CU117" s="272">
        <v>33</v>
      </c>
      <c r="CV117" s="272">
        <v>33</v>
      </c>
      <c r="CW117" s="272">
        <v>104</v>
      </c>
      <c r="CX117" s="272">
        <v>104</v>
      </c>
      <c r="CY117" s="272">
        <v>103</v>
      </c>
    </row>
    <row r="118" spans="1:103">
      <c r="A118" s="272" t="s">
        <v>125</v>
      </c>
      <c r="B118" s="272">
        <v>0</v>
      </c>
      <c r="C118" s="272">
        <v>0</v>
      </c>
      <c r="D118" s="272">
        <v>0</v>
      </c>
      <c r="E118" s="272">
        <v>0</v>
      </c>
      <c r="F118" s="272">
        <v>0</v>
      </c>
      <c r="G118" s="272">
        <v>0</v>
      </c>
      <c r="H118" s="272">
        <v>0</v>
      </c>
      <c r="I118" s="272">
        <v>0</v>
      </c>
      <c r="J118" s="272">
        <v>0</v>
      </c>
      <c r="K118" s="272">
        <v>0</v>
      </c>
      <c r="L118" s="272">
        <v>1</v>
      </c>
      <c r="M118" s="272">
        <v>0</v>
      </c>
      <c r="N118" s="272">
        <v>0</v>
      </c>
      <c r="O118" s="272">
        <v>0</v>
      </c>
      <c r="P118" s="272">
        <v>0</v>
      </c>
      <c r="Q118" s="272">
        <v>0</v>
      </c>
      <c r="R118" s="272">
        <v>0</v>
      </c>
      <c r="S118" s="272">
        <v>0</v>
      </c>
      <c r="T118" s="272">
        <v>0</v>
      </c>
      <c r="U118" s="272">
        <v>1950</v>
      </c>
      <c r="V118" s="272">
        <v>293</v>
      </c>
      <c r="W118" s="272">
        <v>143</v>
      </c>
      <c r="X118" s="272">
        <v>14</v>
      </c>
      <c r="Y118" s="272">
        <v>0</v>
      </c>
      <c r="Z118" s="272">
        <v>0</v>
      </c>
      <c r="AA118" s="272">
        <v>167</v>
      </c>
      <c r="AB118" s="272">
        <v>52</v>
      </c>
      <c r="AC118" s="272">
        <v>13</v>
      </c>
      <c r="AD118" s="272">
        <v>0</v>
      </c>
      <c r="AE118" s="272">
        <v>0</v>
      </c>
      <c r="AF118" s="272">
        <v>0</v>
      </c>
      <c r="AG118" s="272">
        <v>0</v>
      </c>
      <c r="AH118" s="272">
        <v>0</v>
      </c>
      <c r="AI118" s="272">
        <v>0</v>
      </c>
      <c r="AJ118" s="272">
        <v>0</v>
      </c>
      <c r="AK118" s="272">
        <v>1</v>
      </c>
      <c r="AL118" s="272">
        <v>0</v>
      </c>
      <c r="AM118" s="272">
        <v>0</v>
      </c>
      <c r="AN118" s="272">
        <v>0</v>
      </c>
      <c r="AO118" s="272">
        <v>0</v>
      </c>
      <c r="AP118" s="272">
        <v>0</v>
      </c>
      <c r="AQ118" s="272">
        <v>0</v>
      </c>
      <c r="AR118" s="272">
        <v>0</v>
      </c>
      <c r="AS118" s="272">
        <v>0</v>
      </c>
      <c r="AT118" s="272">
        <v>0</v>
      </c>
      <c r="AU118" s="272">
        <v>0</v>
      </c>
      <c r="AV118" s="272">
        <v>0</v>
      </c>
      <c r="AW118" s="272">
        <v>0</v>
      </c>
      <c r="AX118" s="272">
        <v>0</v>
      </c>
      <c r="AY118" s="272">
        <v>0</v>
      </c>
      <c r="AZ118" s="272">
        <v>12</v>
      </c>
      <c r="BA118" s="272">
        <v>12</v>
      </c>
      <c r="BB118" s="272">
        <v>12</v>
      </c>
      <c r="BC118" s="272">
        <v>59</v>
      </c>
      <c r="BD118" s="272">
        <v>59</v>
      </c>
      <c r="BE118" s="272">
        <v>55</v>
      </c>
      <c r="BF118" s="272">
        <v>0</v>
      </c>
      <c r="BG118" s="272">
        <v>0</v>
      </c>
      <c r="BH118" s="272"/>
      <c r="BI118" s="272"/>
      <c r="BJ118" s="272"/>
      <c r="BK118" s="272"/>
      <c r="BL118" s="272"/>
      <c r="BM118" s="272"/>
      <c r="BN118" s="272"/>
      <c r="BO118" s="272"/>
      <c r="BP118" s="272"/>
      <c r="BQ118" s="272"/>
      <c r="BR118" s="272"/>
      <c r="BS118" s="272"/>
      <c r="BT118" s="272"/>
      <c r="BU118" s="272"/>
      <c r="BV118" s="272"/>
      <c r="BW118" s="272"/>
      <c r="BX118" s="272"/>
      <c r="BY118" s="272"/>
      <c r="BZ118" s="272"/>
      <c r="CA118" s="272"/>
      <c r="CB118" s="272"/>
      <c r="CC118" s="272"/>
      <c r="CD118" s="272"/>
      <c r="CE118" s="272"/>
      <c r="CF118" s="272"/>
      <c r="CG118" s="272"/>
      <c r="CH118" s="272"/>
      <c r="CI118" s="272">
        <f t="shared" si="11"/>
        <v>167</v>
      </c>
      <c r="CJ118" s="272">
        <f t="shared" si="12"/>
        <v>167</v>
      </c>
      <c r="CK118" s="272">
        <f t="shared" si="13"/>
        <v>115</v>
      </c>
      <c r="CL118" s="272">
        <f t="shared" si="14"/>
        <v>52</v>
      </c>
      <c r="CM118" s="272">
        <f t="shared" si="15"/>
        <v>0</v>
      </c>
      <c r="CN118" s="272">
        <f t="shared" si="16"/>
        <v>0</v>
      </c>
      <c r="CO118" s="272">
        <f t="shared" si="17"/>
        <v>1</v>
      </c>
      <c r="CP118" s="272">
        <f t="shared" si="18"/>
        <v>1</v>
      </c>
      <c r="CQ118" s="272">
        <v>0</v>
      </c>
      <c r="CR118" s="272">
        <f t="shared" si="19"/>
        <v>0</v>
      </c>
      <c r="CS118" s="272">
        <f t="shared" si="20"/>
        <v>0</v>
      </c>
      <c r="CT118" s="272">
        <v>33</v>
      </c>
      <c r="CU118" s="272">
        <v>33</v>
      </c>
      <c r="CV118" s="272">
        <v>33</v>
      </c>
      <c r="CW118" s="272">
        <v>104</v>
      </c>
      <c r="CX118" s="272">
        <v>104</v>
      </c>
      <c r="CY118" s="272">
        <v>100</v>
      </c>
    </row>
    <row r="119" spans="1:103">
      <c r="A119" s="272" t="s">
        <v>126</v>
      </c>
      <c r="B119" s="272">
        <v>0</v>
      </c>
      <c r="C119" s="272">
        <v>0</v>
      </c>
      <c r="D119" s="272">
        <v>0</v>
      </c>
      <c r="E119" s="272">
        <v>0</v>
      </c>
      <c r="F119" s="272">
        <v>0</v>
      </c>
      <c r="G119" s="272">
        <v>0</v>
      </c>
      <c r="H119" s="272">
        <v>0</v>
      </c>
      <c r="I119" s="272">
        <v>0</v>
      </c>
      <c r="J119" s="272">
        <v>0</v>
      </c>
      <c r="K119" s="272">
        <v>0</v>
      </c>
      <c r="L119" s="272">
        <v>0</v>
      </c>
      <c r="M119" s="272">
        <v>0</v>
      </c>
      <c r="N119" s="272">
        <v>0</v>
      </c>
      <c r="O119" s="272">
        <v>0</v>
      </c>
      <c r="P119" s="272">
        <v>0</v>
      </c>
      <c r="Q119" s="272">
        <v>0</v>
      </c>
      <c r="R119" s="272">
        <v>0</v>
      </c>
      <c r="S119" s="272">
        <v>0</v>
      </c>
      <c r="T119" s="272">
        <v>0</v>
      </c>
      <c r="U119" s="272">
        <v>1534</v>
      </c>
      <c r="V119" s="272">
        <v>228</v>
      </c>
      <c r="W119" s="272">
        <v>118</v>
      </c>
      <c r="X119" s="272">
        <v>8</v>
      </c>
      <c r="Y119" s="272">
        <v>0</v>
      </c>
      <c r="Z119" s="272">
        <v>0</v>
      </c>
      <c r="AA119" s="272">
        <v>115</v>
      </c>
      <c r="AB119" s="272">
        <v>44</v>
      </c>
      <c r="AC119" s="272">
        <v>15</v>
      </c>
      <c r="AD119" s="272">
        <v>0</v>
      </c>
      <c r="AE119" s="272">
        <v>0</v>
      </c>
      <c r="AF119" s="272">
        <v>0</v>
      </c>
      <c r="AG119" s="272">
        <v>0</v>
      </c>
      <c r="AH119" s="272">
        <v>0</v>
      </c>
      <c r="AI119" s="272">
        <v>0</v>
      </c>
      <c r="AJ119" s="272">
        <v>0</v>
      </c>
      <c r="AK119" s="272">
        <v>0</v>
      </c>
      <c r="AL119" s="272">
        <v>0</v>
      </c>
      <c r="AM119" s="272">
        <v>0</v>
      </c>
      <c r="AN119" s="272">
        <v>0</v>
      </c>
      <c r="AO119" s="272">
        <v>0</v>
      </c>
      <c r="AP119" s="272">
        <v>0</v>
      </c>
      <c r="AQ119" s="272">
        <v>0</v>
      </c>
      <c r="AR119" s="272">
        <v>0</v>
      </c>
      <c r="AS119" s="272">
        <v>0</v>
      </c>
      <c r="AT119" s="272">
        <v>0</v>
      </c>
      <c r="AU119" s="272">
        <v>0</v>
      </c>
      <c r="AV119" s="272">
        <v>0</v>
      </c>
      <c r="AW119" s="272">
        <v>0</v>
      </c>
      <c r="AX119" s="272">
        <v>0</v>
      </c>
      <c r="AY119" s="272">
        <v>0</v>
      </c>
      <c r="AZ119" s="272">
        <v>12</v>
      </c>
      <c r="BA119" s="272">
        <v>12</v>
      </c>
      <c r="BB119" s="272">
        <v>12</v>
      </c>
      <c r="BC119" s="272">
        <v>59</v>
      </c>
      <c r="BD119" s="272">
        <v>59</v>
      </c>
      <c r="BE119" s="272">
        <v>59</v>
      </c>
      <c r="BF119" s="272">
        <v>2</v>
      </c>
      <c r="BG119" s="272">
        <v>0</v>
      </c>
      <c r="BH119" s="272"/>
      <c r="BI119" s="272"/>
      <c r="BJ119" s="272"/>
      <c r="BK119" s="272"/>
      <c r="BL119" s="272"/>
      <c r="BM119" s="272"/>
      <c r="BN119" s="272"/>
      <c r="BO119" s="272"/>
      <c r="BP119" s="272"/>
      <c r="BQ119" s="272"/>
      <c r="BR119" s="272"/>
      <c r="BS119" s="272"/>
      <c r="BT119" s="272"/>
      <c r="BU119" s="272"/>
      <c r="BV119" s="272"/>
      <c r="BW119" s="272"/>
      <c r="BX119" s="272"/>
      <c r="BY119" s="272"/>
      <c r="BZ119" s="272"/>
      <c r="CA119" s="272"/>
      <c r="CB119" s="272"/>
      <c r="CC119" s="272"/>
      <c r="CD119" s="272"/>
      <c r="CE119" s="272"/>
      <c r="CF119" s="272"/>
      <c r="CG119" s="272"/>
      <c r="CH119" s="272"/>
      <c r="CI119" s="272">
        <f t="shared" si="11"/>
        <v>115</v>
      </c>
      <c r="CJ119" s="272">
        <f t="shared" si="12"/>
        <v>115</v>
      </c>
      <c r="CK119" s="272">
        <f t="shared" si="13"/>
        <v>71</v>
      </c>
      <c r="CL119" s="272">
        <f t="shared" si="14"/>
        <v>44</v>
      </c>
      <c r="CM119" s="272">
        <f t="shared" si="15"/>
        <v>0</v>
      </c>
      <c r="CN119" s="272">
        <f t="shared" si="16"/>
        <v>0</v>
      </c>
      <c r="CO119" s="272">
        <f t="shared" si="17"/>
        <v>0</v>
      </c>
      <c r="CP119" s="272">
        <f t="shared" si="18"/>
        <v>0</v>
      </c>
      <c r="CQ119" s="272">
        <v>0</v>
      </c>
      <c r="CR119" s="272">
        <f t="shared" si="19"/>
        <v>0</v>
      </c>
      <c r="CS119" s="272">
        <f t="shared" si="20"/>
        <v>0</v>
      </c>
      <c r="CT119" s="272">
        <v>33</v>
      </c>
      <c r="CU119" s="272">
        <v>33</v>
      </c>
      <c r="CV119" s="272">
        <v>33</v>
      </c>
      <c r="CW119" s="272">
        <v>104</v>
      </c>
      <c r="CX119" s="272">
        <v>104</v>
      </c>
      <c r="CY119" s="272">
        <v>104</v>
      </c>
    </row>
    <row r="120" spans="1:103">
      <c r="A120" s="272" t="s">
        <v>127</v>
      </c>
      <c r="B120" s="272">
        <v>0</v>
      </c>
      <c r="C120" s="272">
        <v>0</v>
      </c>
      <c r="D120" s="272">
        <v>0</v>
      </c>
      <c r="E120" s="272">
        <v>0</v>
      </c>
      <c r="F120" s="272">
        <v>0</v>
      </c>
      <c r="G120" s="272">
        <v>0</v>
      </c>
      <c r="H120" s="272">
        <v>0</v>
      </c>
      <c r="I120" s="272">
        <v>0</v>
      </c>
      <c r="J120" s="272">
        <v>0</v>
      </c>
      <c r="K120" s="272">
        <v>0</v>
      </c>
      <c r="L120" s="272">
        <v>1</v>
      </c>
      <c r="M120" s="272">
        <v>0</v>
      </c>
      <c r="N120" s="272">
        <v>0</v>
      </c>
      <c r="O120" s="272">
        <v>0</v>
      </c>
      <c r="P120" s="272">
        <v>0</v>
      </c>
      <c r="Q120" s="272">
        <v>0</v>
      </c>
      <c r="R120" s="272">
        <v>0</v>
      </c>
      <c r="S120" s="272">
        <v>0</v>
      </c>
      <c r="T120" s="272">
        <v>0</v>
      </c>
      <c r="U120" s="272">
        <v>1250</v>
      </c>
      <c r="V120" s="272">
        <v>226</v>
      </c>
      <c r="W120" s="272">
        <v>76</v>
      </c>
      <c r="X120" s="272">
        <v>5</v>
      </c>
      <c r="Y120" s="272">
        <v>0</v>
      </c>
      <c r="Z120" s="272">
        <v>0</v>
      </c>
      <c r="AA120" s="272">
        <v>112</v>
      </c>
      <c r="AB120" s="272">
        <v>41</v>
      </c>
      <c r="AC120" s="272">
        <v>12</v>
      </c>
      <c r="AD120" s="272">
        <v>0</v>
      </c>
      <c r="AE120" s="272">
        <v>0</v>
      </c>
      <c r="AF120" s="272">
        <v>0</v>
      </c>
      <c r="AG120" s="272">
        <v>0</v>
      </c>
      <c r="AH120" s="272">
        <v>0</v>
      </c>
      <c r="AI120" s="272">
        <v>0</v>
      </c>
      <c r="AJ120" s="272">
        <v>0</v>
      </c>
      <c r="AK120" s="272">
        <v>0</v>
      </c>
      <c r="AL120" s="272">
        <v>0</v>
      </c>
      <c r="AM120" s="272">
        <v>0</v>
      </c>
      <c r="AN120" s="272">
        <v>0</v>
      </c>
      <c r="AO120" s="272">
        <v>0</v>
      </c>
      <c r="AP120" s="272">
        <v>0</v>
      </c>
      <c r="AQ120" s="272">
        <v>0</v>
      </c>
      <c r="AR120" s="272">
        <v>0</v>
      </c>
      <c r="AS120" s="272">
        <v>0</v>
      </c>
      <c r="AT120" s="272">
        <v>0</v>
      </c>
      <c r="AU120" s="272">
        <v>0</v>
      </c>
      <c r="AV120" s="272">
        <v>0</v>
      </c>
      <c r="AW120" s="272">
        <v>0</v>
      </c>
      <c r="AX120" s="272">
        <v>0</v>
      </c>
      <c r="AY120" s="272">
        <v>0</v>
      </c>
      <c r="AZ120" s="272">
        <v>12</v>
      </c>
      <c r="BA120" s="272">
        <v>12</v>
      </c>
      <c r="BB120" s="272">
        <v>12</v>
      </c>
      <c r="BC120" s="272">
        <v>59</v>
      </c>
      <c r="BD120" s="272">
        <v>59</v>
      </c>
      <c r="BE120" s="272">
        <v>59</v>
      </c>
      <c r="BF120" s="272">
        <v>0</v>
      </c>
      <c r="BG120" s="272">
        <v>0</v>
      </c>
      <c r="BH120" s="272"/>
      <c r="BI120" s="272"/>
      <c r="BJ120" s="272"/>
      <c r="BK120" s="272"/>
      <c r="BL120" s="272"/>
      <c r="BM120" s="272"/>
      <c r="BN120" s="272"/>
      <c r="BO120" s="272"/>
      <c r="BP120" s="272"/>
      <c r="BQ120" s="272"/>
      <c r="BR120" s="272"/>
      <c r="BS120" s="272"/>
      <c r="BT120" s="272"/>
      <c r="BU120" s="272"/>
      <c r="BV120" s="272"/>
      <c r="BW120" s="272"/>
      <c r="BX120" s="272"/>
      <c r="BY120" s="272"/>
      <c r="BZ120" s="272"/>
      <c r="CA120" s="272"/>
      <c r="CB120" s="272"/>
      <c r="CC120" s="272"/>
      <c r="CD120" s="272"/>
      <c r="CE120" s="272"/>
      <c r="CF120" s="272"/>
      <c r="CG120" s="272"/>
      <c r="CH120" s="272"/>
      <c r="CI120" s="272">
        <f t="shared" si="11"/>
        <v>112</v>
      </c>
      <c r="CJ120" s="272">
        <f t="shared" si="12"/>
        <v>112</v>
      </c>
      <c r="CK120" s="272">
        <f t="shared" si="13"/>
        <v>71</v>
      </c>
      <c r="CL120" s="272">
        <f t="shared" si="14"/>
        <v>41</v>
      </c>
      <c r="CM120" s="272">
        <f t="shared" si="15"/>
        <v>0</v>
      </c>
      <c r="CN120" s="272">
        <f t="shared" si="16"/>
        <v>0</v>
      </c>
      <c r="CO120" s="272">
        <f t="shared" si="17"/>
        <v>1</v>
      </c>
      <c r="CP120" s="272">
        <f t="shared" si="18"/>
        <v>1</v>
      </c>
      <c r="CQ120" s="272">
        <v>0</v>
      </c>
      <c r="CR120" s="272">
        <f t="shared" si="19"/>
        <v>0</v>
      </c>
      <c r="CS120" s="272">
        <f t="shared" si="20"/>
        <v>0</v>
      </c>
      <c r="CT120" s="272">
        <v>33</v>
      </c>
      <c r="CU120" s="272">
        <v>33</v>
      </c>
      <c r="CV120" s="272">
        <v>33</v>
      </c>
      <c r="CW120" s="272">
        <v>104</v>
      </c>
      <c r="CX120" s="272">
        <v>104</v>
      </c>
      <c r="CY120" s="272">
        <v>104</v>
      </c>
    </row>
    <row r="121" spans="1:103">
      <c r="A121" s="272" t="s">
        <v>128</v>
      </c>
      <c r="B121" s="272">
        <v>0</v>
      </c>
      <c r="C121" s="272">
        <v>0</v>
      </c>
      <c r="D121" s="272">
        <v>0</v>
      </c>
      <c r="E121" s="272">
        <v>0</v>
      </c>
      <c r="F121" s="272">
        <v>0</v>
      </c>
      <c r="G121" s="272">
        <v>0</v>
      </c>
      <c r="H121" s="272">
        <v>0</v>
      </c>
      <c r="I121" s="272">
        <v>0</v>
      </c>
      <c r="J121" s="272">
        <v>0</v>
      </c>
      <c r="K121" s="272">
        <v>0</v>
      </c>
      <c r="L121" s="272">
        <v>0</v>
      </c>
      <c r="M121" s="272">
        <v>0</v>
      </c>
      <c r="N121" s="272">
        <v>0</v>
      </c>
      <c r="O121" s="272">
        <v>0</v>
      </c>
      <c r="P121" s="272">
        <v>0</v>
      </c>
      <c r="Q121" s="272">
        <v>0</v>
      </c>
      <c r="R121" s="272">
        <v>0</v>
      </c>
      <c r="S121" s="272">
        <v>0</v>
      </c>
      <c r="T121" s="272">
        <v>0</v>
      </c>
      <c r="U121" s="272">
        <v>1308</v>
      </c>
      <c r="V121" s="272">
        <v>205</v>
      </c>
      <c r="W121" s="272">
        <v>70</v>
      </c>
      <c r="X121" s="272">
        <v>10</v>
      </c>
      <c r="Y121" s="272">
        <v>0</v>
      </c>
      <c r="Z121" s="272">
        <v>0</v>
      </c>
      <c r="AA121" s="272">
        <v>84</v>
      </c>
      <c r="AB121" s="272">
        <v>32</v>
      </c>
      <c r="AC121" s="272">
        <v>12</v>
      </c>
      <c r="AD121" s="272">
        <v>0</v>
      </c>
      <c r="AE121" s="272">
        <v>0</v>
      </c>
      <c r="AF121" s="272">
        <v>0</v>
      </c>
      <c r="AG121" s="272">
        <v>0</v>
      </c>
      <c r="AH121" s="272">
        <v>0</v>
      </c>
      <c r="AI121" s="272">
        <v>0</v>
      </c>
      <c r="AJ121" s="272">
        <v>0</v>
      </c>
      <c r="AK121" s="272">
        <v>0</v>
      </c>
      <c r="AL121" s="272">
        <v>0</v>
      </c>
      <c r="AM121" s="272">
        <v>0</v>
      </c>
      <c r="AN121" s="272">
        <v>0</v>
      </c>
      <c r="AO121" s="272">
        <v>0</v>
      </c>
      <c r="AP121" s="272">
        <v>0</v>
      </c>
      <c r="AQ121" s="272">
        <v>0</v>
      </c>
      <c r="AR121" s="272">
        <v>0</v>
      </c>
      <c r="AS121" s="272">
        <v>0</v>
      </c>
      <c r="AT121" s="272">
        <v>0</v>
      </c>
      <c r="AU121" s="272">
        <v>0</v>
      </c>
      <c r="AV121" s="272">
        <v>0</v>
      </c>
      <c r="AW121" s="272">
        <v>0</v>
      </c>
      <c r="AX121" s="272">
        <v>0</v>
      </c>
      <c r="AY121" s="272">
        <v>0</v>
      </c>
      <c r="AZ121" s="272">
        <v>12</v>
      </c>
      <c r="BA121" s="272">
        <v>12</v>
      </c>
      <c r="BB121" s="272">
        <v>12</v>
      </c>
      <c r="BC121" s="272">
        <v>59</v>
      </c>
      <c r="BD121" s="272">
        <v>59</v>
      </c>
      <c r="BE121" s="272">
        <v>59</v>
      </c>
      <c r="BF121" s="272">
        <v>1</v>
      </c>
      <c r="BG121" s="272">
        <v>0</v>
      </c>
      <c r="BH121" s="272"/>
      <c r="BI121" s="272"/>
      <c r="BJ121" s="272"/>
      <c r="BK121" s="272"/>
      <c r="BL121" s="272"/>
      <c r="BM121" s="272"/>
      <c r="BN121" s="272"/>
      <c r="BO121" s="272"/>
      <c r="BP121" s="272"/>
      <c r="BQ121" s="272"/>
      <c r="BR121" s="272"/>
      <c r="BS121" s="272"/>
      <c r="BT121" s="272"/>
      <c r="BU121" s="272"/>
      <c r="BV121" s="272"/>
      <c r="BW121" s="272"/>
      <c r="BX121" s="272"/>
      <c r="BY121" s="272"/>
      <c r="BZ121" s="272"/>
      <c r="CA121" s="272"/>
      <c r="CB121" s="272"/>
      <c r="CC121" s="272"/>
      <c r="CD121" s="272"/>
      <c r="CE121" s="272"/>
      <c r="CF121" s="272"/>
      <c r="CG121" s="272"/>
      <c r="CH121" s="272"/>
      <c r="CI121" s="272">
        <f t="shared" si="11"/>
        <v>84</v>
      </c>
      <c r="CJ121" s="272">
        <f t="shared" si="12"/>
        <v>84</v>
      </c>
      <c r="CK121" s="272">
        <f t="shared" si="13"/>
        <v>52</v>
      </c>
      <c r="CL121" s="272">
        <f t="shared" si="14"/>
        <v>32</v>
      </c>
      <c r="CM121" s="272">
        <f t="shared" si="15"/>
        <v>0</v>
      </c>
      <c r="CN121" s="272">
        <f t="shared" si="16"/>
        <v>0</v>
      </c>
      <c r="CO121" s="272">
        <f t="shared" si="17"/>
        <v>0</v>
      </c>
      <c r="CP121" s="272">
        <f t="shared" si="18"/>
        <v>0</v>
      </c>
      <c r="CQ121" s="272">
        <v>0</v>
      </c>
      <c r="CR121" s="272">
        <f t="shared" si="19"/>
        <v>0</v>
      </c>
      <c r="CS121" s="272">
        <f t="shared" si="20"/>
        <v>0</v>
      </c>
      <c r="CT121" s="272">
        <v>33</v>
      </c>
      <c r="CU121" s="272">
        <v>33</v>
      </c>
      <c r="CV121" s="272">
        <v>33</v>
      </c>
      <c r="CW121" s="272">
        <v>104</v>
      </c>
      <c r="CX121" s="272">
        <v>104</v>
      </c>
      <c r="CY121" s="272">
        <v>104</v>
      </c>
    </row>
    <row r="122" ht="30" spans="1:103">
      <c r="A122" s="272" t="s">
        <v>243</v>
      </c>
      <c r="B122" s="272">
        <v>1</v>
      </c>
      <c r="C122" s="272">
        <v>0</v>
      </c>
      <c r="D122" s="272">
        <v>5</v>
      </c>
      <c r="E122" s="272">
        <v>0</v>
      </c>
      <c r="F122" s="272">
        <v>1</v>
      </c>
      <c r="G122" s="272">
        <v>0</v>
      </c>
      <c r="H122" s="272">
        <v>0</v>
      </c>
      <c r="I122" s="272">
        <v>0</v>
      </c>
      <c r="J122" s="272">
        <v>5</v>
      </c>
      <c r="K122" s="272">
        <v>0</v>
      </c>
      <c r="L122" s="272">
        <v>32</v>
      </c>
      <c r="M122" s="272">
        <v>0</v>
      </c>
      <c r="N122" s="272">
        <v>0</v>
      </c>
      <c r="O122" s="272">
        <v>0</v>
      </c>
      <c r="P122" s="272">
        <v>0</v>
      </c>
      <c r="Q122" s="272">
        <v>0</v>
      </c>
      <c r="R122" s="272">
        <v>5</v>
      </c>
      <c r="S122" s="272">
        <v>0</v>
      </c>
      <c r="T122" s="272">
        <v>0</v>
      </c>
      <c r="U122" s="272">
        <v>70938</v>
      </c>
      <c r="V122" s="272">
        <v>12721</v>
      </c>
      <c r="W122" s="272">
        <v>4985</v>
      </c>
      <c r="X122" s="272">
        <v>378</v>
      </c>
      <c r="Y122" s="272">
        <v>0</v>
      </c>
      <c r="Z122" s="272">
        <v>0</v>
      </c>
      <c r="AA122" s="272">
        <v>3176</v>
      </c>
      <c r="AB122" s="272">
        <v>1154</v>
      </c>
      <c r="AC122" s="272">
        <v>398</v>
      </c>
      <c r="AD122" s="272">
        <v>0</v>
      </c>
      <c r="AE122" s="272">
        <v>0</v>
      </c>
      <c r="AF122" s="272">
        <v>0</v>
      </c>
      <c r="AG122" s="272">
        <v>2</v>
      </c>
      <c r="AH122" s="272">
        <v>0</v>
      </c>
      <c r="AI122" s="272">
        <v>1</v>
      </c>
      <c r="AJ122" s="272">
        <v>0</v>
      </c>
      <c r="AK122" s="272">
        <v>1</v>
      </c>
      <c r="AL122" s="272">
        <v>0</v>
      </c>
      <c r="AM122" s="272">
        <v>0</v>
      </c>
      <c r="AN122" s="272">
        <v>0</v>
      </c>
      <c r="AO122" s="272">
        <v>0</v>
      </c>
      <c r="AP122" s="272">
        <v>0</v>
      </c>
      <c r="AQ122" s="272">
        <v>0</v>
      </c>
      <c r="AR122" s="272">
        <v>0</v>
      </c>
      <c r="AS122" s="272">
        <v>0</v>
      </c>
      <c r="AT122" s="272">
        <v>0</v>
      </c>
      <c r="AU122" s="272">
        <v>0</v>
      </c>
      <c r="AV122" s="272">
        <v>0</v>
      </c>
      <c r="AW122" s="272">
        <v>0</v>
      </c>
      <c r="AX122" s="272">
        <v>0</v>
      </c>
      <c r="AY122" s="272">
        <v>0</v>
      </c>
      <c r="AZ122" s="272">
        <v>588</v>
      </c>
      <c r="BA122" s="272">
        <v>588</v>
      </c>
      <c r="BB122" s="272">
        <v>587</v>
      </c>
      <c r="BC122" s="272">
        <v>2869</v>
      </c>
      <c r="BD122" s="272">
        <v>2675</v>
      </c>
      <c r="BE122" s="272">
        <v>2610</v>
      </c>
      <c r="BF122" s="272">
        <v>528</v>
      </c>
      <c r="BG122" s="272">
        <v>0</v>
      </c>
      <c r="BH122" s="272">
        <v>1</v>
      </c>
      <c r="BI122" s="272">
        <v>0</v>
      </c>
      <c r="BJ122" s="272">
        <v>0</v>
      </c>
      <c r="BK122" s="272">
        <v>0</v>
      </c>
      <c r="BL122" s="272">
        <v>0</v>
      </c>
      <c r="BM122" s="272">
        <v>0</v>
      </c>
      <c r="BN122" s="272">
        <v>0</v>
      </c>
      <c r="BO122" s="272">
        <v>0</v>
      </c>
      <c r="BP122" s="272">
        <v>0</v>
      </c>
      <c r="BQ122" s="272">
        <v>0</v>
      </c>
      <c r="BR122" s="272">
        <v>0</v>
      </c>
      <c r="BS122" s="272">
        <v>0</v>
      </c>
      <c r="BT122" s="272">
        <v>0</v>
      </c>
      <c r="BU122" s="272">
        <v>0</v>
      </c>
      <c r="BV122" s="272">
        <v>0</v>
      </c>
      <c r="BW122" s="272">
        <v>0</v>
      </c>
      <c r="BX122" s="272">
        <v>0</v>
      </c>
      <c r="BY122" s="272">
        <v>0</v>
      </c>
      <c r="BZ122" s="272">
        <v>0</v>
      </c>
      <c r="CA122" s="272">
        <v>0</v>
      </c>
      <c r="CB122" s="272">
        <v>0</v>
      </c>
      <c r="CC122" s="272">
        <v>0</v>
      </c>
      <c r="CD122" s="272">
        <v>0</v>
      </c>
      <c r="CE122" s="272">
        <v>0</v>
      </c>
      <c r="CF122" s="272">
        <v>0</v>
      </c>
      <c r="CG122" s="272">
        <v>0</v>
      </c>
      <c r="CH122" s="272">
        <v>0</v>
      </c>
      <c r="CI122" s="272">
        <f t="shared" si="11"/>
        <v>3176</v>
      </c>
      <c r="CJ122" s="272">
        <f t="shared" si="12"/>
        <v>3176</v>
      </c>
      <c r="CK122" s="272">
        <f t="shared" si="13"/>
        <v>2022</v>
      </c>
      <c r="CL122" s="272">
        <f t="shared" si="14"/>
        <v>1154</v>
      </c>
      <c r="CM122" s="272">
        <f t="shared" si="15"/>
        <v>5</v>
      </c>
      <c r="CN122" s="272">
        <f t="shared" si="16"/>
        <v>5</v>
      </c>
      <c r="CO122" s="272">
        <f t="shared" si="17"/>
        <v>32</v>
      </c>
      <c r="CP122" s="272">
        <f t="shared" si="18"/>
        <v>32</v>
      </c>
      <c r="CQ122" s="272">
        <v>2</v>
      </c>
      <c r="CR122" s="272">
        <f t="shared" si="19"/>
        <v>5</v>
      </c>
      <c r="CS122" s="272">
        <f t="shared" si="20"/>
        <v>5</v>
      </c>
      <c r="CT122" s="272">
        <v>1617</v>
      </c>
      <c r="CU122" s="272">
        <v>1542</v>
      </c>
      <c r="CV122" s="272">
        <v>1526</v>
      </c>
      <c r="CW122" s="272">
        <v>5075</v>
      </c>
      <c r="CX122" s="272">
        <v>4808</v>
      </c>
      <c r="CY122" s="272">
        <v>4641</v>
      </c>
    </row>
  </sheetData>
  <mergeCells count="48">
    <mergeCell ref="A2:BE2"/>
    <mergeCell ref="BF2:BG2"/>
    <mergeCell ref="CI2:CL2"/>
    <mergeCell ref="CM2:CN2"/>
    <mergeCell ref="CO2:CQ2"/>
    <mergeCell ref="CR2:CS2"/>
    <mergeCell ref="B3:C3"/>
    <mergeCell ref="D3:E3"/>
    <mergeCell ref="F3:G3"/>
    <mergeCell ref="H3:I3"/>
    <mergeCell ref="J3:K3"/>
    <mergeCell ref="L3:M3"/>
    <mergeCell ref="N3:O3"/>
    <mergeCell ref="P3:Q3"/>
    <mergeCell ref="S3:T3"/>
    <mergeCell ref="U3:V3"/>
    <mergeCell ref="W3:Z3"/>
    <mergeCell ref="AA3:AD3"/>
    <mergeCell ref="AE3:AF3"/>
    <mergeCell ref="AG3:AH3"/>
    <mergeCell ref="AI3:AJ3"/>
    <mergeCell ref="AK3:AM3"/>
    <mergeCell ref="AN3:AO3"/>
    <mergeCell ref="AP3:AQ3"/>
    <mergeCell ref="AR3:AS3"/>
    <mergeCell ref="AT3:AU3"/>
    <mergeCell ref="AV3:AW3"/>
    <mergeCell ref="AX3:AY3"/>
    <mergeCell ref="AZ3:BB3"/>
    <mergeCell ref="BC3:BE3"/>
    <mergeCell ref="BF3:BG3"/>
    <mergeCell ref="BI3:BP3"/>
    <mergeCell ref="BQ3:BX3"/>
    <mergeCell ref="BY3:CH3"/>
    <mergeCell ref="CK3:CL3"/>
    <mergeCell ref="CT3:CV3"/>
    <mergeCell ref="CX3:CZ3"/>
    <mergeCell ref="A3:A4"/>
    <mergeCell ref="BH3:BH4"/>
    <mergeCell ref="CI3:CI4"/>
    <mergeCell ref="CJ3:CJ4"/>
    <mergeCell ref="CM3:CM4"/>
    <mergeCell ref="CN3:CN4"/>
    <mergeCell ref="CO3:CO4"/>
    <mergeCell ref="CP3:CP4"/>
    <mergeCell ref="CQ3:CQ4"/>
    <mergeCell ref="CR3:CR4"/>
    <mergeCell ref="CS3:CS4"/>
  </mergeCells>
  <conditionalFormatting sqref="A5">
    <cfRule type="cellIs" dxfId="0" priority="3" operator="notEqual">
      <formula>A73</formula>
    </cfRule>
  </conditionalFormatting>
  <conditionalFormatting sqref="CJ5:CL5">
    <cfRule type="cellIs" dxfId="1" priority="11" operator="notEqual">
      <formula>0</formula>
    </cfRule>
  </conditionalFormatting>
  <conditionalFormatting sqref="B73">
    <cfRule type="cellIs" dxfId="0" priority="1" operator="notEqual">
      <formula>B5</formula>
    </cfRule>
  </conditionalFormatting>
  <conditionalFormatting sqref="CX5:CZ57">
    <cfRule type="cellIs" dxfId="1" priority="4" operator="greaterThan">
      <formula>0</formula>
    </cfRule>
  </conditionalFormatting>
  <conditionalFormatting sqref="B6:CV57">
    <cfRule type="cellIs" dxfId="1" priority="5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2"/>
  <dimension ref="A1:CX57"/>
  <sheetViews>
    <sheetView tabSelected="1" workbookViewId="0">
      <pane ySplit="3" topLeftCell="A25" activePane="bottomLeft" state="frozen"/>
      <selection/>
      <selection pane="bottomLeft" activeCell="U30" sqref="U30"/>
    </sheetView>
  </sheetViews>
  <sheetFormatPr defaultColWidth="11" defaultRowHeight="17.25"/>
  <cols>
    <col min="1" max="1" width="11.4285714285714" style="129"/>
    <col min="2" max="5" width="4.42857142857143" style="130" customWidth="1"/>
    <col min="6" max="7" width="5.28571428571429" style="130" customWidth="1"/>
    <col min="8" max="15" width="4.42857142857143" style="130" customWidth="1"/>
    <col min="16" max="18" width="5.71428571428571" style="130" customWidth="1"/>
    <col min="19" max="20" width="4.42857142857143" style="130" customWidth="1"/>
    <col min="21" max="21" width="6.85714285714286" style="130" customWidth="1"/>
    <col min="22" max="23" width="7.28571428571429" style="130" customWidth="1"/>
    <col min="24" max="24" width="7.71428571428571" style="130" customWidth="1"/>
    <col min="25" max="25" width="13.1428571428571" style="130" customWidth="1"/>
    <col min="26" max="26" width="6.14285714285714" style="130" customWidth="1"/>
    <col min="27" max="27" width="7.85714285714286" style="130" customWidth="1"/>
    <col min="28" max="29" width="5.14285714285714" style="130" customWidth="1"/>
    <col min="30" max="30" width="6.42857142857143" style="130" customWidth="1"/>
    <col min="31" max="48" width="5.14285714285714" style="130" customWidth="1"/>
    <col min="49" max="50" width="4.42857142857143" style="130" customWidth="1"/>
    <col min="51" max="51" width="5" style="130" customWidth="1"/>
    <col min="52" max="53" width="6" style="130" customWidth="1"/>
    <col min="54" max="59" width="6.71428571428571" style="130" customWidth="1"/>
    <col min="60" max="61" width="5.14285714285714" style="130" customWidth="1"/>
    <col min="62" max="93" width="5.42857142857143" style="131" customWidth="1"/>
    <col min="94" max="99" width="11" style="131"/>
    <col min="100" max="100" width="9.57142857142857" style="131" customWidth="1"/>
    <col min="101" max="101" width="9.28571428571429" style="131" customWidth="1"/>
    <col min="102" max="16384" width="11" style="131"/>
  </cols>
  <sheetData>
    <row r="1" ht="84" customHeight="1" spans="1:102">
      <c r="A1" s="132" t="s">
        <v>244</v>
      </c>
      <c r="B1" s="133" t="s">
        <v>8</v>
      </c>
      <c r="C1" s="133"/>
      <c r="D1" s="134" t="s">
        <v>9</v>
      </c>
      <c r="E1" s="134"/>
      <c r="F1" s="134" t="s">
        <v>245</v>
      </c>
      <c r="G1" s="134"/>
      <c r="H1" s="134" t="s">
        <v>11</v>
      </c>
      <c r="I1" s="134"/>
      <c r="J1" s="134" t="s">
        <v>246</v>
      </c>
      <c r="K1" s="134"/>
      <c r="L1" s="135" t="s">
        <v>247</v>
      </c>
      <c r="M1" s="135"/>
      <c r="N1" s="134" t="s">
        <v>248</v>
      </c>
      <c r="O1" s="134"/>
      <c r="P1" s="136" t="s">
        <v>249</v>
      </c>
      <c r="Q1" s="137"/>
      <c r="R1" s="138"/>
      <c r="S1" s="134" t="s">
        <v>250</v>
      </c>
      <c r="T1" s="134"/>
      <c r="U1" s="134" t="s">
        <v>251</v>
      </c>
      <c r="V1" s="134" t="s">
        <v>252</v>
      </c>
      <c r="W1" s="134"/>
      <c r="X1" s="139" t="s">
        <v>253</v>
      </c>
      <c r="Y1" s="139"/>
      <c r="Z1" s="134" t="s">
        <v>254</v>
      </c>
      <c r="AA1" s="134"/>
      <c r="AB1" s="134"/>
      <c r="AC1" s="134"/>
      <c r="AD1" s="140" t="s">
        <v>20</v>
      </c>
      <c r="AE1" s="140"/>
      <c r="AF1" s="140"/>
      <c r="AG1" s="140"/>
      <c r="AH1" s="279" t="s">
        <v>255</v>
      </c>
      <c r="AI1" s="141"/>
      <c r="AJ1" s="279" t="s">
        <v>26</v>
      </c>
      <c r="AK1" s="141"/>
      <c r="AL1" s="279" t="s">
        <v>27</v>
      </c>
      <c r="AM1" s="141"/>
      <c r="AN1" s="279" t="s">
        <v>28</v>
      </c>
      <c r="AO1" s="141"/>
      <c r="AP1" s="279" t="s">
        <v>29</v>
      </c>
      <c r="AQ1" s="141"/>
      <c r="AR1" s="279" t="s">
        <v>256</v>
      </c>
      <c r="AS1" s="141"/>
      <c r="AT1" s="280" t="s">
        <v>257</v>
      </c>
      <c r="AU1" s="133"/>
      <c r="AV1" s="281" t="s">
        <v>258</v>
      </c>
      <c r="AW1" s="141"/>
      <c r="AX1" s="282" t="s">
        <v>259</v>
      </c>
      <c r="AY1" s="142"/>
      <c r="AZ1" s="282" t="s">
        <v>260</v>
      </c>
      <c r="BA1" s="142"/>
      <c r="BB1" s="143" t="s">
        <v>31</v>
      </c>
      <c r="BC1" s="143"/>
      <c r="BD1" s="143"/>
      <c r="BE1" s="143" t="s">
        <v>32</v>
      </c>
      <c r="BF1" s="143"/>
      <c r="BG1" s="143"/>
      <c r="BH1" s="144" t="s">
        <v>33</v>
      </c>
      <c r="BI1" s="144"/>
      <c r="BJ1" s="145" t="s">
        <v>2</v>
      </c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6" t="s">
        <v>3</v>
      </c>
      <c r="CL1" s="146"/>
      <c r="CM1" s="146"/>
      <c r="CN1" s="146"/>
      <c r="CO1" s="147" t="s">
        <v>4</v>
      </c>
      <c r="CP1" s="147"/>
      <c r="CQ1" s="148" t="s">
        <v>5</v>
      </c>
      <c r="CR1" s="148"/>
      <c r="CS1" s="148"/>
      <c r="CT1" s="147" t="s">
        <v>6</v>
      </c>
      <c r="CU1" s="147"/>
      <c r="CV1" s="149"/>
      <c r="CW1" s="149"/>
      <c r="CX1" s="149"/>
    </row>
    <row r="2" ht="69" customHeight="1" spans="1:102">
      <c r="A2" s="132"/>
      <c r="B2" s="283" t="s">
        <v>47</v>
      </c>
      <c r="C2" s="283" t="s">
        <v>261</v>
      </c>
      <c r="D2" s="284" t="s">
        <v>47</v>
      </c>
      <c r="E2" s="284" t="s">
        <v>261</v>
      </c>
      <c r="F2" s="284" t="s">
        <v>47</v>
      </c>
      <c r="G2" s="284" t="s">
        <v>261</v>
      </c>
      <c r="H2" s="284" t="s">
        <v>47</v>
      </c>
      <c r="I2" s="284" t="s">
        <v>261</v>
      </c>
      <c r="J2" s="284" t="s">
        <v>47</v>
      </c>
      <c r="K2" s="284" t="s">
        <v>261</v>
      </c>
      <c r="L2" s="285" t="s">
        <v>47</v>
      </c>
      <c r="M2" s="285" t="s">
        <v>261</v>
      </c>
      <c r="N2" s="284" t="s">
        <v>47</v>
      </c>
      <c r="O2" s="284" t="s">
        <v>261</v>
      </c>
      <c r="P2" s="284" t="s">
        <v>52</v>
      </c>
      <c r="Q2" s="284" t="s">
        <v>262</v>
      </c>
      <c r="R2" s="151" t="s">
        <v>263</v>
      </c>
      <c r="S2" s="151" t="s">
        <v>49</v>
      </c>
      <c r="T2" s="151" t="s">
        <v>50</v>
      </c>
      <c r="U2" s="151" t="s">
        <v>264</v>
      </c>
      <c r="V2" s="151" t="s">
        <v>264</v>
      </c>
      <c r="W2" s="151" t="s">
        <v>263</v>
      </c>
      <c r="X2" s="286" t="s">
        <v>265</v>
      </c>
      <c r="Y2" s="286" t="s">
        <v>266</v>
      </c>
      <c r="Z2" s="151" t="s">
        <v>265</v>
      </c>
      <c r="AA2" s="151" t="s">
        <v>266</v>
      </c>
      <c r="AB2" s="151" t="s">
        <v>267</v>
      </c>
      <c r="AC2" s="151" t="s">
        <v>266</v>
      </c>
      <c r="AD2" s="287" t="s">
        <v>47</v>
      </c>
      <c r="AE2" s="287" t="s">
        <v>268</v>
      </c>
      <c r="AF2" s="287" t="s">
        <v>269</v>
      </c>
      <c r="AG2" s="287" t="s">
        <v>261</v>
      </c>
      <c r="AH2" s="284" t="s">
        <v>270</v>
      </c>
      <c r="AI2" s="284" t="s">
        <v>271</v>
      </c>
      <c r="AJ2" s="284" t="s">
        <v>47</v>
      </c>
      <c r="AK2" s="284" t="s">
        <v>271</v>
      </c>
      <c r="AL2" s="284" t="s">
        <v>271</v>
      </c>
      <c r="AM2" s="284" t="s">
        <v>47</v>
      </c>
      <c r="AN2" s="284" t="s">
        <v>271</v>
      </c>
      <c r="AO2" s="284" t="s">
        <v>47</v>
      </c>
      <c r="AP2" s="284" t="s">
        <v>271</v>
      </c>
      <c r="AQ2" s="284" t="s">
        <v>270</v>
      </c>
      <c r="AR2" s="284" t="s">
        <v>263</v>
      </c>
      <c r="AS2" s="284" t="s">
        <v>270</v>
      </c>
      <c r="AT2" s="283" t="s">
        <v>272</v>
      </c>
      <c r="AU2" s="283" t="s">
        <v>273</v>
      </c>
      <c r="AV2" s="284" t="s">
        <v>272</v>
      </c>
      <c r="AW2" s="284" t="s">
        <v>273</v>
      </c>
      <c r="AX2" s="283" t="s">
        <v>272</v>
      </c>
      <c r="AY2" s="283" t="s">
        <v>273</v>
      </c>
      <c r="AZ2" s="284" t="s">
        <v>52</v>
      </c>
      <c r="BA2" s="284" t="s">
        <v>262</v>
      </c>
      <c r="BB2" s="284" t="s">
        <v>77</v>
      </c>
      <c r="BC2" s="284" t="s">
        <v>78</v>
      </c>
      <c r="BD2" s="284" t="s">
        <v>79</v>
      </c>
      <c r="BE2" s="284" t="s">
        <v>77</v>
      </c>
      <c r="BF2" s="284" t="s">
        <v>78</v>
      </c>
      <c r="BG2" s="284" t="s">
        <v>79</v>
      </c>
      <c r="BH2" s="284" t="s">
        <v>270</v>
      </c>
      <c r="BI2" s="284" t="s">
        <v>263</v>
      </c>
      <c r="BJ2" s="288" t="s">
        <v>34</v>
      </c>
      <c r="BK2" s="156" t="s">
        <v>35</v>
      </c>
      <c r="BL2" s="156"/>
      <c r="BM2" s="156"/>
      <c r="BN2" s="156"/>
      <c r="BO2" s="156"/>
      <c r="BP2" s="156"/>
      <c r="BQ2" s="156"/>
      <c r="BR2" s="156"/>
      <c r="BS2" s="156" t="s">
        <v>36</v>
      </c>
      <c r="BT2" s="156"/>
      <c r="BU2" s="156"/>
      <c r="BV2" s="156"/>
      <c r="BW2" s="156"/>
      <c r="BX2" s="156"/>
      <c r="BY2" s="156"/>
      <c r="BZ2" s="156"/>
      <c r="CA2" s="156" t="s">
        <v>37</v>
      </c>
      <c r="CB2" s="156"/>
      <c r="CC2" s="156"/>
      <c r="CD2" s="156"/>
      <c r="CE2" s="156"/>
      <c r="CF2" s="156"/>
      <c r="CG2" s="156"/>
      <c r="CH2" s="156"/>
      <c r="CI2" s="156"/>
      <c r="CJ2" s="156"/>
      <c r="CK2" s="288" t="s">
        <v>38</v>
      </c>
      <c r="CL2" s="132" t="s">
        <v>39</v>
      </c>
      <c r="CM2" s="157" t="s">
        <v>40</v>
      </c>
      <c r="CN2" s="157"/>
      <c r="CO2" s="288" t="s">
        <v>38</v>
      </c>
      <c r="CP2" s="132" t="s">
        <v>42</v>
      </c>
      <c r="CQ2" s="288" t="s">
        <v>38</v>
      </c>
      <c r="CR2" s="132" t="s">
        <v>42</v>
      </c>
      <c r="CS2" s="132" t="s">
        <v>44</v>
      </c>
      <c r="CT2" s="288" t="s">
        <v>38</v>
      </c>
      <c r="CU2" s="132" t="s">
        <v>42</v>
      </c>
      <c r="CV2" s="149" t="s">
        <v>274</v>
      </c>
      <c r="CW2" s="149"/>
      <c r="CX2" s="149"/>
    </row>
    <row r="3" ht="45" customHeight="1" spans="1:102">
      <c r="A3" s="140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40"/>
      <c r="BI3" s="140"/>
      <c r="BJ3" s="155"/>
      <c r="BK3" s="158" t="s">
        <v>61</v>
      </c>
      <c r="BL3" s="158" t="s">
        <v>62</v>
      </c>
      <c r="BM3" s="158" t="s">
        <v>63</v>
      </c>
      <c r="BN3" s="158" t="s">
        <v>64</v>
      </c>
      <c r="BO3" s="158" t="s">
        <v>65</v>
      </c>
      <c r="BP3" s="158" t="s">
        <v>66</v>
      </c>
      <c r="BQ3" s="158" t="s">
        <v>67</v>
      </c>
      <c r="BR3" s="158" t="s">
        <v>68</v>
      </c>
      <c r="BS3" s="158" t="s">
        <v>61</v>
      </c>
      <c r="BT3" s="158" t="s">
        <v>62</v>
      </c>
      <c r="BU3" s="158" t="s">
        <v>63</v>
      </c>
      <c r="BV3" s="158" t="s">
        <v>69</v>
      </c>
      <c r="BW3" s="158" t="s">
        <v>70</v>
      </c>
      <c r="BX3" s="158" t="s">
        <v>71</v>
      </c>
      <c r="BY3" s="158" t="s">
        <v>72</v>
      </c>
      <c r="BZ3" s="158" t="s">
        <v>73</v>
      </c>
      <c r="CA3" s="158" t="s">
        <v>61</v>
      </c>
      <c r="CB3" s="158" t="s">
        <v>62</v>
      </c>
      <c r="CC3" s="158" t="s">
        <v>63</v>
      </c>
      <c r="CD3" s="158" t="s">
        <v>69</v>
      </c>
      <c r="CE3" s="158" t="s">
        <v>70</v>
      </c>
      <c r="CF3" s="158" t="s">
        <v>74</v>
      </c>
      <c r="CG3" s="158" t="s">
        <v>75</v>
      </c>
      <c r="CH3" s="158" t="s">
        <v>72</v>
      </c>
      <c r="CI3" s="158" t="s">
        <v>73</v>
      </c>
      <c r="CJ3" s="159" t="s">
        <v>76</v>
      </c>
      <c r="CK3" s="155"/>
      <c r="CL3" s="132"/>
      <c r="CM3" s="158" t="s">
        <v>62</v>
      </c>
      <c r="CN3" s="158" t="s">
        <v>63</v>
      </c>
      <c r="CO3" s="155"/>
      <c r="CP3" s="132"/>
      <c r="CQ3" s="155"/>
      <c r="CR3" s="132"/>
      <c r="CS3" s="132"/>
      <c r="CT3" s="155"/>
      <c r="CU3" s="132"/>
      <c r="CV3" s="160" t="s">
        <v>77</v>
      </c>
      <c r="CW3" s="160" t="s">
        <v>78</v>
      </c>
      <c r="CX3" s="149" t="s">
        <v>79</v>
      </c>
    </row>
    <row r="4" s="128" customFormat="1" ht="18" spans="1:102">
      <c r="A4" s="161" t="s">
        <v>80</v>
      </c>
      <c r="B4" s="162">
        <v>0</v>
      </c>
      <c r="C4" s="162">
        <v>0</v>
      </c>
      <c r="D4" s="162">
        <v>0</v>
      </c>
      <c r="E4" s="162">
        <v>0</v>
      </c>
      <c r="F4" s="162">
        <v>0</v>
      </c>
      <c r="G4" s="162">
        <v>0</v>
      </c>
      <c r="H4" s="162">
        <v>0</v>
      </c>
      <c r="I4" s="162">
        <v>0</v>
      </c>
      <c r="J4" s="162">
        <v>0</v>
      </c>
      <c r="K4" s="162">
        <v>0</v>
      </c>
      <c r="L4" s="162">
        <v>0</v>
      </c>
      <c r="M4" s="162">
        <v>0</v>
      </c>
      <c r="N4" s="162">
        <v>0</v>
      </c>
      <c r="O4" s="162">
        <v>0</v>
      </c>
      <c r="P4" s="162">
        <v>0</v>
      </c>
      <c r="Q4" s="162">
        <v>0</v>
      </c>
      <c r="R4" s="162">
        <v>0</v>
      </c>
      <c r="S4" s="162">
        <v>0</v>
      </c>
      <c r="T4" s="162">
        <v>0</v>
      </c>
      <c r="U4" s="162">
        <v>0</v>
      </c>
      <c r="V4" s="162">
        <v>0</v>
      </c>
      <c r="W4" s="162">
        <v>0</v>
      </c>
      <c r="X4" s="162">
        <v>3408</v>
      </c>
      <c r="Y4" s="162">
        <v>858</v>
      </c>
      <c r="Z4" s="162">
        <v>253</v>
      </c>
      <c r="AA4" s="162">
        <v>56</v>
      </c>
      <c r="AB4" s="162">
        <v>0</v>
      </c>
      <c r="AC4" s="162">
        <v>0</v>
      </c>
      <c r="AD4" s="162">
        <v>97</v>
      </c>
      <c r="AE4" s="162">
        <v>49</v>
      </c>
      <c r="AF4" s="162">
        <v>14</v>
      </c>
      <c r="AG4" s="162">
        <v>0</v>
      </c>
      <c r="AH4" s="162">
        <v>0</v>
      </c>
      <c r="AI4" s="162">
        <v>0</v>
      </c>
      <c r="AJ4" s="162">
        <v>0</v>
      </c>
      <c r="AK4" s="162">
        <v>0</v>
      </c>
      <c r="AL4" s="162">
        <v>0</v>
      </c>
      <c r="AM4" s="162">
        <v>0</v>
      </c>
      <c r="AN4" s="162">
        <v>0</v>
      </c>
      <c r="AO4" s="162">
        <v>0</v>
      </c>
      <c r="AP4" s="162">
        <v>0</v>
      </c>
      <c r="AQ4" s="162">
        <v>0</v>
      </c>
      <c r="AR4" s="162">
        <v>0</v>
      </c>
      <c r="AS4" s="162">
        <v>0</v>
      </c>
      <c r="AT4" s="162">
        <v>0</v>
      </c>
      <c r="AU4" s="162">
        <v>0</v>
      </c>
      <c r="AV4" s="162">
        <v>3</v>
      </c>
      <c r="AW4" s="162">
        <v>0</v>
      </c>
      <c r="AX4" s="162">
        <v>1</v>
      </c>
      <c r="AY4" s="162">
        <v>0</v>
      </c>
      <c r="AZ4" s="162">
        <v>0</v>
      </c>
      <c r="BA4" s="162">
        <v>0</v>
      </c>
      <c r="BB4" s="162">
        <v>49</v>
      </c>
      <c r="BC4" s="162">
        <v>49</v>
      </c>
      <c r="BD4" s="162">
        <v>49</v>
      </c>
      <c r="BE4" s="162">
        <v>204</v>
      </c>
      <c r="BF4" s="162">
        <v>197</v>
      </c>
      <c r="BG4" s="162">
        <v>197</v>
      </c>
      <c r="BH4" s="162">
        <v>20</v>
      </c>
      <c r="BI4" s="162">
        <v>0</v>
      </c>
      <c r="BJ4" s="162">
        <v>0</v>
      </c>
      <c r="BK4" s="162">
        <v>0</v>
      </c>
      <c r="BL4" s="162">
        <v>0</v>
      </c>
      <c r="BM4" s="162">
        <v>0</v>
      </c>
      <c r="BN4" s="162">
        <v>0</v>
      </c>
      <c r="BO4" s="162">
        <v>0</v>
      </c>
      <c r="BP4" s="162">
        <v>0</v>
      </c>
      <c r="BQ4" s="162">
        <v>0</v>
      </c>
      <c r="BR4" s="162">
        <v>0</v>
      </c>
      <c r="BS4" s="162">
        <v>0</v>
      </c>
      <c r="BT4" s="162">
        <v>0</v>
      </c>
      <c r="BU4" s="162">
        <v>0</v>
      </c>
      <c r="BV4" s="162">
        <v>0</v>
      </c>
      <c r="BW4" s="162">
        <v>0</v>
      </c>
      <c r="BX4" s="162">
        <v>0</v>
      </c>
      <c r="BY4" s="162">
        <v>0</v>
      </c>
      <c r="BZ4" s="162">
        <v>0</v>
      </c>
      <c r="CA4" s="162">
        <v>0</v>
      </c>
      <c r="CB4" s="162">
        <v>0</v>
      </c>
      <c r="CC4" s="162">
        <v>0</v>
      </c>
      <c r="CD4" s="162">
        <v>0</v>
      </c>
      <c r="CE4" s="162">
        <v>0</v>
      </c>
      <c r="CF4" s="162">
        <v>0</v>
      </c>
      <c r="CG4" s="162">
        <v>0</v>
      </c>
      <c r="CH4" s="162">
        <v>0</v>
      </c>
      <c r="CI4" s="162">
        <v>0</v>
      </c>
      <c r="CJ4" s="162">
        <v>0</v>
      </c>
      <c r="CK4" s="162">
        <v>97</v>
      </c>
      <c r="CL4" s="162">
        <v>95</v>
      </c>
      <c r="CM4" s="162">
        <v>46</v>
      </c>
      <c r="CN4" s="162">
        <v>49</v>
      </c>
      <c r="CO4" s="162">
        <v>0</v>
      </c>
      <c r="CP4" s="162">
        <v>0</v>
      </c>
      <c r="CQ4" s="162">
        <v>0</v>
      </c>
      <c r="CR4" s="162">
        <v>0</v>
      </c>
      <c r="CS4" s="162">
        <v>0</v>
      </c>
      <c r="CT4" s="162">
        <v>0</v>
      </c>
      <c r="CU4" s="162">
        <v>0</v>
      </c>
      <c r="CV4" s="162">
        <v>4</v>
      </c>
      <c r="CW4" s="162">
        <v>4</v>
      </c>
      <c r="CX4" s="162">
        <v>4</v>
      </c>
    </row>
    <row r="5" s="128" customFormat="1" ht="18" spans="1:102">
      <c r="A5" s="161" t="s">
        <v>81</v>
      </c>
      <c r="B5" s="163">
        <v>1</v>
      </c>
      <c r="C5" s="163">
        <v>0</v>
      </c>
      <c r="D5" s="163">
        <v>0</v>
      </c>
      <c r="E5" s="163">
        <v>0</v>
      </c>
      <c r="F5" s="163">
        <v>0</v>
      </c>
      <c r="G5" s="163">
        <v>0</v>
      </c>
      <c r="H5" s="163">
        <v>0</v>
      </c>
      <c r="I5" s="163">
        <v>0</v>
      </c>
      <c r="J5" s="163">
        <v>0</v>
      </c>
      <c r="K5" s="163">
        <v>0</v>
      </c>
      <c r="L5" s="163">
        <v>0</v>
      </c>
      <c r="M5" s="163">
        <v>0</v>
      </c>
      <c r="N5" s="163">
        <v>0</v>
      </c>
      <c r="O5" s="163">
        <v>0</v>
      </c>
      <c r="P5" s="163">
        <v>0</v>
      </c>
      <c r="Q5" s="163">
        <v>0</v>
      </c>
      <c r="R5" s="163">
        <v>0</v>
      </c>
      <c r="S5" s="163">
        <v>0</v>
      </c>
      <c r="T5" s="163">
        <v>0</v>
      </c>
      <c r="U5" s="163">
        <v>0</v>
      </c>
      <c r="V5" s="163">
        <v>0</v>
      </c>
      <c r="W5" s="163">
        <v>0</v>
      </c>
      <c r="X5" s="163">
        <v>3544</v>
      </c>
      <c r="Y5" s="163">
        <v>861</v>
      </c>
      <c r="Z5" s="163">
        <v>250</v>
      </c>
      <c r="AA5" s="163">
        <v>42</v>
      </c>
      <c r="AB5" s="163">
        <v>1</v>
      </c>
      <c r="AC5" s="163">
        <v>1</v>
      </c>
      <c r="AD5" s="163">
        <v>88</v>
      </c>
      <c r="AE5" s="163">
        <v>48</v>
      </c>
      <c r="AF5" s="163">
        <v>20</v>
      </c>
      <c r="AG5" s="163">
        <v>0</v>
      </c>
      <c r="AH5" s="163">
        <v>0</v>
      </c>
      <c r="AI5" s="163">
        <v>0</v>
      </c>
      <c r="AJ5" s="163">
        <v>0</v>
      </c>
      <c r="AK5" s="163">
        <v>0</v>
      </c>
      <c r="AL5" s="163">
        <v>0</v>
      </c>
      <c r="AM5" s="163">
        <v>0</v>
      </c>
      <c r="AN5" s="163">
        <v>0</v>
      </c>
      <c r="AO5" s="163">
        <v>0</v>
      </c>
      <c r="AP5" s="163">
        <v>0</v>
      </c>
      <c r="AQ5" s="163">
        <v>0</v>
      </c>
      <c r="AR5" s="163">
        <v>0</v>
      </c>
      <c r="AS5" s="163">
        <v>0</v>
      </c>
      <c r="AT5" s="163">
        <v>0</v>
      </c>
      <c r="AU5" s="163">
        <v>0</v>
      </c>
      <c r="AV5" s="163">
        <v>7</v>
      </c>
      <c r="AW5" s="163">
        <v>0</v>
      </c>
      <c r="AX5" s="163">
        <v>3</v>
      </c>
      <c r="AY5" s="163">
        <v>0</v>
      </c>
      <c r="AZ5" s="163">
        <v>0</v>
      </c>
      <c r="BA5" s="163">
        <v>0</v>
      </c>
      <c r="BB5" s="163">
        <v>49</v>
      </c>
      <c r="BC5" s="163">
        <v>49</v>
      </c>
      <c r="BD5" s="163">
        <v>49</v>
      </c>
      <c r="BE5" s="163">
        <v>205</v>
      </c>
      <c r="BF5" s="163">
        <v>205</v>
      </c>
      <c r="BG5" s="163">
        <v>205</v>
      </c>
      <c r="BH5" s="163">
        <v>10</v>
      </c>
      <c r="BI5" s="163">
        <v>0</v>
      </c>
      <c r="BJ5" s="163">
        <v>1</v>
      </c>
      <c r="BK5" s="163">
        <v>1</v>
      </c>
      <c r="BL5" s="163">
        <v>0</v>
      </c>
      <c r="BM5" s="163">
        <v>1</v>
      </c>
      <c r="BN5" s="163">
        <v>1</v>
      </c>
      <c r="BO5" s="163">
        <v>0</v>
      </c>
      <c r="BP5" s="163">
        <v>0</v>
      </c>
      <c r="BQ5" s="163">
        <v>0</v>
      </c>
      <c r="BR5" s="163">
        <v>0</v>
      </c>
      <c r="BS5" s="163">
        <v>0</v>
      </c>
      <c r="BT5" s="163">
        <v>0</v>
      </c>
      <c r="BU5" s="163">
        <v>0</v>
      </c>
      <c r="BV5" s="163">
        <v>0</v>
      </c>
      <c r="BW5" s="163">
        <v>0</v>
      </c>
      <c r="BX5" s="163">
        <v>0</v>
      </c>
      <c r="BY5" s="163">
        <v>0</v>
      </c>
      <c r="BZ5" s="163">
        <v>0</v>
      </c>
      <c r="CA5" s="163">
        <v>0</v>
      </c>
      <c r="CB5" s="163">
        <v>0</v>
      </c>
      <c r="CC5" s="163">
        <v>0</v>
      </c>
      <c r="CD5" s="163">
        <v>0</v>
      </c>
      <c r="CE5" s="163">
        <v>0</v>
      </c>
      <c r="CF5" s="163">
        <v>0</v>
      </c>
      <c r="CG5" s="163">
        <v>0</v>
      </c>
      <c r="CH5" s="163">
        <v>0</v>
      </c>
      <c r="CI5" s="163">
        <v>0</v>
      </c>
      <c r="CJ5" s="163">
        <v>0</v>
      </c>
      <c r="CK5" s="163">
        <v>88</v>
      </c>
      <c r="CL5" s="163">
        <v>73</v>
      </c>
      <c r="CM5" s="163">
        <v>25</v>
      </c>
      <c r="CN5" s="163">
        <v>48</v>
      </c>
      <c r="CO5" s="163">
        <v>0</v>
      </c>
      <c r="CP5" s="163">
        <v>0</v>
      </c>
      <c r="CQ5" s="163">
        <v>0</v>
      </c>
      <c r="CR5" s="163">
        <v>0</v>
      </c>
      <c r="CS5" s="163">
        <v>0</v>
      </c>
      <c r="CT5" s="163">
        <v>0</v>
      </c>
      <c r="CU5" s="163">
        <v>0</v>
      </c>
      <c r="CV5" s="162">
        <v>4</v>
      </c>
      <c r="CW5" s="162">
        <v>4</v>
      </c>
      <c r="CX5" s="162">
        <v>4</v>
      </c>
    </row>
    <row r="6" s="128" customFormat="1" ht="18" spans="1:102">
      <c r="A6" s="161" t="s">
        <v>82</v>
      </c>
      <c r="B6" s="163">
        <v>0</v>
      </c>
      <c r="C6" s="163">
        <v>0</v>
      </c>
      <c r="D6" s="163">
        <v>0</v>
      </c>
      <c r="E6" s="163">
        <v>0</v>
      </c>
      <c r="F6" s="163">
        <v>0</v>
      </c>
      <c r="G6" s="163">
        <v>0</v>
      </c>
      <c r="H6" s="163">
        <v>0</v>
      </c>
      <c r="I6" s="163">
        <v>0</v>
      </c>
      <c r="J6" s="163">
        <v>0</v>
      </c>
      <c r="K6" s="163">
        <v>0</v>
      </c>
      <c r="L6" s="163">
        <v>1</v>
      </c>
      <c r="M6" s="163">
        <v>0</v>
      </c>
      <c r="N6" s="163">
        <v>0</v>
      </c>
      <c r="O6" s="163">
        <v>0</v>
      </c>
      <c r="P6" s="163">
        <v>0</v>
      </c>
      <c r="Q6" s="163">
        <v>0</v>
      </c>
      <c r="R6" s="163">
        <v>0</v>
      </c>
      <c r="S6" s="163">
        <v>0</v>
      </c>
      <c r="T6" s="163">
        <v>0</v>
      </c>
      <c r="U6" s="163">
        <v>0</v>
      </c>
      <c r="V6" s="163">
        <v>0</v>
      </c>
      <c r="W6" s="163">
        <v>0</v>
      </c>
      <c r="X6" s="163">
        <v>3652</v>
      </c>
      <c r="Y6" s="163">
        <v>977</v>
      </c>
      <c r="Z6" s="163">
        <v>309</v>
      </c>
      <c r="AA6" s="163">
        <v>54</v>
      </c>
      <c r="AB6" s="163">
        <v>0</v>
      </c>
      <c r="AC6" s="163">
        <v>0</v>
      </c>
      <c r="AD6" s="163">
        <v>86</v>
      </c>
      <c r="AE6" s="163">
        <v>29</v>
      </c>
      <c r="AF6" s="163">
        <v>13</v>
      </c>
      <c r="AG6" s="163">
        <v>0</v>
      </c>
      <c r="AH6" s="163">
        <v>0</v>
      </c>
      <c r="AI6" s="163">
        <v>0</v>
      </c>
      <c r="AJ6" s="163">
        <v>0</v>
      </c>
      <c r="AK6" s="163">
        <v>0</v>
      </c>
      <c r="AL6" s="163">
        <v>0</v>
      </c>
      <c r="AM6" s="163">
        <v>0</v>
      </c>
      <c r="AN6" s="163">
        <v>0</v>
      </c>
      <c r="AO6" s="163">
        <v>0</v>
      </c>
      <c r="AP6" s="163">
        <v>0</v>
      </c>
      <c r="AQ6" s="163">
        <v>0</v>
      </c>
      <c r="AR6" s="163">
        <v>0</v>
      </c>
      <c r="AS6" s="163">
        <v>0</v>
      </c>
      <c r="AT6" s="163">
        <v>0</v>
      </c>
      <c r="AU6" s="163">
        <v>0</v>
      </c>
      <c r="AV6" s="163">
        <v>6</v>
      </c>
      <c r="AW6" s="163">
        <v>0</v>
      </c>
      <c r="AX6" s="163">
        <v>2</v>
      </c>
      <c r="AY6" s="163">
        <v>0</v>
      </c>
      <c r="AZ6" s="163">
        <v>0</v>
      </c>
      <c r="BA6" s="163">
        <v>0</v>
      </c>
      <c r="BB6" s="163">
        <v>49</v>
      </c>
      <c r="BC6" s="163">
        <v>49</v>
      </c>
      <c r="BD6" s="163">
        <v>49</v>
      </c>
      <c r="BE6" s="163">
        <v>205</v>
      </c>
      <c r="BF6" s="163">
        <v>205</v>
      </c>
      <c r="BG6" s="163">
        <v>205</v>
      </c>
      <c r="BH6" s="163">
        <v>5</v>
      </c>
      <c r="BI6" s="163">
        <v>0</v>
      </c>
      <c r="BJ6" s="163">
        <v>0</v>
      </c>
      <c r="BK6" s="163">
        <v>0</v>
      </c>
      <c r="BL6" s="163">
        <v>0</v>
      </c>
      <c r="BM6" s="163">
        <v>0</v>
      </c>
      <c r="BN6" s="163">
        <v>0</v>
      </c>
      <c r="BO6" s="163">
        <v>0</v>
      </c>
      <c r="BP6" s="163">
        <v>0</v>
      </c>
      <c r="BQ6" s="163">
        <v>0</v>
      </c>
      <c r="BR6" s="163">
        <v>0</v>
      </c>
      <c r="BS6" s="163">
        <v>0</v>
      </c>
      <c r="BT6" s="163">
        <v>0</v>
      </c>
      <c r="BU6" s="163">
        <v>0</v>
      </c>
      <c r="BV6" s="163">
        <v>0</v>
      </c>
      <c r="BW6" s="163">
        <v>0</v>
      </c>
      <c r="BX6" s="163">
        <v>0</v>
      </c>
      <c r="BY6" s="163">
        <v>0</v>
      </c>
      <c r="BZ6" s="163">
        <v>0</v>
      </c>
      <c r="CA6" s="163">
        <v>0</v>
      </c>
      <c r="CB6" s="163">
        <v>0</v>
      </c>
      <c r="CC6" s="163">
        <v>0</v>
      </c>
      <c r="CD6" s="163">
        <v>0</v>
      </c>
      <c r="CE6" s="163">
        <v>0</v>
      </c>
      <c r="CF6" s="163">
        <v>0</v>
      </c>
      <c r="CG6" s="163">
        <v>0</v>
      </c>
      <c r="CH6" s="163">
        <v>0</v>
      </c>
      <c r="CI6" s="163">
        <v>0</v>
      </c>
      <c r="CJ6" s="163">
        <v>0</v>
      </c>
      <c r="CK6" s="163">
        <v>86</v>
      </c>
      <c r="CL6" s="163">
        <v>72</v>
      </c>
      <c r="CM6" s="163">
        <v>43</v>
      </c>
      <c r="CN6" s="163">
        <v>29</v>
      </c>
      <c r="CO6" s="163">
        <v>0</v>
      </c>
      <c r="CP6" s="163">
        <v>0</v>
      </c>
      <c r="CQ6" s="163">
        <v>1</v>
      </c>
      <c r="CR6" s="163">
        <v>1</v>
      </c>
      <c r="CS6" s="163">
        <v>1</v>
      </c>
      <c r="CT6" s="163">
        <v>0</v>
      </c>
      <c r="CU6" s="163">
        <v>0</v>
      </c>
      <c r="CV6" s="162">
        <v>4</v>
      </c>
      <c r="CW6" s="162">
        <v>4</v>
      </c>
      <c r="CX6" s="162">
        <v>4</v>
      </c>
    </row>
    <row r="7" s="128" customFormat="1" ht="18" spans="1:102">
      <c r="A7" s="161" t="s">
        <v>83</v>
      </c>
      <c r="B7" s="163">
        <v>0</v>
      </c>
      <c r="C7" s="163">
        <v>0</v>
      </c>
      <c r="D7" s="163">
        <v>0</v>
      </c>
      <c r="E7" s="163">
        <v>0</v>
      </c>
      <c r="F7" s="163">
        <v>0</v>
      </c>
      <c r="G7" s="163">
        <v>0</v>
      </c>
      <c r="H7" s="163">
        <v>0</v>
      </c>
      <c r="I7" s="163">
        <v>0</v>
      </c>
      <c r="J7" s="163">
        <v>0</v>
      </c>
      <c r="K7" s="163">
        <v>0</v>
      </c>
      <c r="L7" s="163">
        <v>1</v>
      </c>
      <c r="M7" s="163">
        <v>0</v>
      </c>
      <c r="N7" s="163">
        <v>0</v>
      </c>
      <c r="O7" s="163">
        <v>0</v>
      </c>
      <c r="P7" s="163">
        <v>0</v>
      </c>
      <c r="Q7" s="163">
        <v>0</v>
      </c>
      <c r="R7" s="163">
        <v>0</v>
      </c>
      <c r="S7" s="163">
        <v>0</v>
      </c>
      <c r="T7" s="163">
        <v>0</v>
      </c>
      <c r="U7" s="163">
        <v>0</v>
      </c>
      <c r="V7" s="163">
        <v>0</v>
      </c>
      <c r="W7" s="163">
        <v>0</v>
      </c>
      <c r="X7" s="163">
        <v>3618</v>
      </c>
      <c r="Y7" s="163">
        <v>995</v>
      </c>
      <c r="Z7" s="163">
        <v>299</v>
      </c>
      <c r="AA7" s="163">
        <v>71</v>
      </c>
      <c r="AB7" s="163">
        <v>0</v>
      </c>
      <c r="AC7" s="163">
        <v>0</v>
      </c>
      <c r="AD7" s="163">
        <v>98</v>
      </c>
      <c r="AE7" s="163">
        <v>42</v>
      </c>
      <c r="AF7" s="163">
        <v>10</v>
      </c>
      <c r="AG7" s="163">
        <v>0</v>
      </c>
      <c r="AH7" s="163">
        <v>0</v>
      </c>
      <c r="AI7" s="163">
        <v>0</v>
      </c>
      <c r="AJ7" s="163">
        <v>0</v>
      </c>
      <c r="AK7" s="163">
        <v>0</v>
      </c>
      <c r="AL7" s="163">
        <v>0</v>
      </c>
      <c r="AM7" s="163">
        <v>0</v>
      </c>
      <c r="AN7" s="163">
        <v>0</v>
      </c>
      <c r="AO7" s="163">
        <v>0</v>
      </c>
      <c r="AP7" s="163">
        <v>0</v>
      </c>
      <c r="AQ7" s="163">
        <v>0</v>
      </c>
      <c r="AR7" s="163">
        <v>0</v>
      </c>
      <c r="AS7" s="163">
        <v>0</v>
      </c>
      <c r="AT7" s="163">
        <v>0</v>
      </c>
      <c r="AU7" s="163">
        <v>0</v>
      </c>
      <c r="AV7" s="163">
        <v>8</v>
      </c>
      <c r="AW7" s="163">
        <v>0</v>
      </c>
      <c r="AX7" s="163">
        <v>1</v>
      </c>
      <c r="AY7" s="163">
        <v>0</v>
      </c>
      <c r="AZ7" s="163">
        <v>0</v>
      </c>
      <c r="BA7" s="163">
        <v>0</v>
      </c>
      <c r="BB7" s="163">
        <v>49</v>
      </c>
      <c r="BC7" s="163">
        <v>49</v>
      </c>
      <c r="BD7" s="163">
        <v>49</v>
      </c>
      <c r="BE7" s="163">
        <v>204</v>
      </c>
      <c r="BF7" s="163">
        <v>201</v>
      </c>
      <c r="BG7" s="163">
        <v>201</v>
      </c>
      <c r="BH7" s="163">
        <v>4</v>
      </c>
      <c r="BI7" s="163">
        <v>0</v>
      </c>
      <c r="BJ7" s="163">
        <v>0</v>
      </c>
      <c r="BK7" s="163">
        <v>0</v>
      </c>
      <c r="BL7" s="163">
        <v>0</v>
      </c>
      <c r="BM7" s="163">
        <v>0</v>
      </c>
      <c r="BN7" s="163">
        <v>0</v>
      </c>
      <c r="BO7" s="163">
        <v>0</v>
      </c>
      <c r="BP7" s="163">
        <v>0</v>
      </c>
      <c r="BQ7" s="163">
        <v>0</v>
      </c>
      <c r="BR7" s="163">
        <v>0</v>
      </c>
      <c r="BS7" s="163">
        <v>0</v>
      </c>
      <c r="BT7" s="163">
        <v>0</v>
      </c>
      <c r="BU7" s="163">
        <v>0</v>
      </c>
      <c r="BV7" s="163">
        <v>0</v>
      </c>
      <c r="BW7" s="163">
        <v>0</v>
      </c>
      <c r="BX7" s="163">
        <v>0</v>
      </c>
      <c r="BY7" s="163">
        <v>0</v>
      </c>
      <c r="BZ7" s="163">
        <v>0</v>
      </c>
      <c r="CA7" s="163">
        <v>0</v>
      </c>
      <c r="CB7" s="163">
        <v>0</v>
      </c>
      <c r="CC7" s="163">
        <v>0</v>
      </c>
      <c r="CD7" s="163">
        <v>0</v>
      </c>
      <c r="CE7" s="163">
        <v>0</v>
      </c>
      <c r="CF7" s="163">
        <v>0</v>
      </c>
      <c r="CG7" s="163">
        <v>0</v>
      </c>
      <c r="CH7" s="163">
        <v>0</v>
      </c>
      <c r="CI7" s="163">
        <v>0</v>
      </c>
      <c r="CJ7" s="163">
        <v>0</v>
      </c>
      <c r="CK7" s="163">
        <v>95</v>
      </c>
      <c r="CL7" s="163">
        <v>78</v>
      </c>
      <c r="CM7" s="163">
        <v>36</v>
      </c>
      <c r="CN7" s="163">
        <v>42</v>
      </c>
      <c r="CO7" s="163">
        <v>0</v>
      </c>
      <c r="CP7" s="163">
        <v>0</v>
      </c>
      <c r="CQ7" s="163">
        <v>1</v>
      </c>
      <c r="CR7" s="163">
        <v>1</v>
      </c>
      <c r="CS7" s="163">
        <v>1</v>
      </c>
      <c r="CT7" s="163">
        <v>0</v>
      </c>
      <c r="CU7" s="163">
        <v>0</v>
      </c>
      <c r="CV7" s="162">
        <v>4</v>
      </c>
      <c r="CW7" s="162">
        <v>4</v>
      </c>
      <c r="CX7" s="162">
        <v>4</v>
      </c>
    </row>
    <row r="8" s="128" customFormat="1" ht="18" spans="1:102">
      <c r="A8" s="161" t="s">
        <v>84</v>
      </c>
      <c r="B8" s="162">
        <v>1</v>
      </c>
      <c r="C8" s="162">
        <v>0</v>
      </c>
      <c r="D8" s="162">
        <v>0</v>
      </c>
      <c r="E8" s="162">
        <v>0</v>
      </c>
      <c r="F8" s="162">
        <v>0</v>
      </c>
      <c r="G8" s="162">
        <v>0</v>
      </c>
      <c r="H8" s="162">
        <v>0</v>
      </c>
      <c r="I8" s="162">
        <v>0</v>
      </c>
      <c r="J8" s="162">
        <v>0</v>
      </c>
      <c r="K8" s="162">
        <v>0</v>
      </c>
      <c r="L8" s="162">
        <v>1</v>
      </c>
      <c r="M8" s="162">
        <v>0</v>
      </c>
      <c r="N8" s="162">
        <v>0</v>
      </c>
      <c r="O8" s="162">
        <v>0</v>
      </c>
      <c r="P8" s="162">
        <v>0</v>
      </c>
      <c r="Q8" s="162">
        <v>0</v>
      </c>
      <c r="R8" s="162"/>
      <c r="S8" s="162">
        <v>0</v>
      </c>
      <c r="T8" s="162">
        <v>0</v>
      </c>
      <c r="U8" s="162">
        <v>0</v>
      </c>
      <c r="V8" s="162">
        <v>0</v>
      </c>
      <c r="W8" s="162">
        <v>0</v>
      </c>
      <c r="X8" s="162">
        <v>4243</v>
      </c>
      <c r="Y8" s="162">
        <v>1469</v>
      </c>
      <c r="Z8" s="162">
        <v>269</v>
      </c>
      <c r="AA8" s="162">
        <v>82</v>
      </c>
      <c r="AB8" s="162">
        <v>0</v>
      </c>
      <c r="AC8" s="162">
        <v>0</v>
      </c>
      <c r="AD8" s="162">
        <v>99</v>
      </c>
      <c r="AE8" s="162">
        <v>19</v>
      </c>
      <c r="AF8" s="162">
        <v>10</v>
      </c>
      <c r="AG8" s="162">
        <v>0</v>
      </c>
      <c r="AH8" s="162">
        <v>0</v>
      </c>
      <c r="AI8" s="162">
        <v>0</v>
      </c>
      <c r="AJ8" s="162">
        <v>0</v>
      </c>
      <c r="AK8" s="162">
        <v>0</v>
      </c>
      <c r="AL8" s="162">
        <v>0</v>
      </c>
      <c r="AM8" s="162">
        <v>0</v>
      </c>
      <c r="AN8" s="162">
        <v>0</v>
      </c>
      <c r="AO8" s="162">
        <v>0</v>
      </c>
      <c r="AP8" s="162">
        <v>0</v>
      </c>
      <c r="AQ8" s="162">
        <v>0</v>
      </c>
      <c r="AR8" s="162">
        <v>0</v>
      </c>
      <c r="AS8" s="162">
        <v>0</v>
      </c>
      <c r="AT8" s="162">
        <v>0</v>
      </c>
      <c r="AU8" s="162">
        <v>0</v>
      </c>
      <c r="AV8" s="162">
        <v>2</v>
      </c>
      <c r="AW8" s="162">
        <v>0</v>
      </c>
      <c r="AX8" s="162">
        <v>0</v>
      </c>
      <c r="AY8" s="162">
        <v>0</v>
      </c>
      <c r="AZ8" s="162">
        <v>0</v>
      </c>
      <c r="BA8" s="162">
        <v>0</v>
      </c>
      <c r="BB8" s="162">
        <v>49</v>
      </c>
      <c r="BC8" s="162">
        <v>49</v>
      </c>
      <c r="BD8" s="162">
        <v>49</v>
      </c>
      <c r="BE8" s="162">
        <v>204</v>
      </c>
      <c r="BF8" s="162">
        <v>204</v>
      </c>
      <c r="BG8" s="162">
        <v>204</v>
      </c>
      <c r="BH8" s="162">
        <v>6</v>
      </c>
      <c r="BI8" s="162">
        <v>0</v>
      </c>
      <c r="BJ8" s="162">
        <v>1</v>
      </c>
      <c r="BK8" s="162">
        <v>1</v>
      </c>
      <c r="BL8" s="162">
        <v>1</v>
      </c>
      <c r="BM8" s="162">
        <v>0</v>
      </c>
      <c r="BN8" s="162">
        <v>0</v>
      </c>
      <c r="BO8" s="162">
        <v>0</v>
      </c>
      <c r="BP8" s="162">
        <v>0</v>
      </c>
      <c r="BQ8" s="162">
        <v>0</v>
      </c>
      <c r="BR8" s="162">
        <v>0</v>
      </c>
      <c r="BS8" s="162">
        <v>0</v>
      </c>
      <c r="BT8" s="162">
        <v>0</v>
      </c>
      <c r="BU8" s="162">
        <v>0</v>
      </c>
      <c r="BV8" s="162">
        <v>0</v>
      </c>
      <c r="BW8" s="162">
        <v>0</v>
      </c>
      <c r="BX8" s="162">
        <v>0</v>
      </c>
      <c r="BY8" s="162">
        <v>0</v>
      </c>
      <c r="BZ8" s="162">
        <v>0</v>
      </c>
      <c r="CA8" s="162">
        <v>0</v>
      </c>
      <c r="CB8" s="162">
        <v>0</v>
      </c>
      <c r="CC8" s="162">
        <v>0</v>
      </c>
      <c r="CD8" s="162">
        <v>0</v>
      </c>
      <c r="CE8" s="162">
        <v>0</v>
      </c>
      <c r="CF8" s="162">
        <v>0</v>
      </c>
      <c r="CG8" s="162">
        <v>0</v>
      </c>
      <c r="CH8" s="162">
        <v>0</v>
      </c>
      <c r="CI8" s="162">
        <v>0</v>
      </c>
      <c r="CJ8" s="162">
        <v>0</v>
      </c>
      <c r="CK8" s="162">
        <v>99</v>
      </c>
      <c r="CL8" s="162">
        <v>79</v>
      </c>
      <c r="CM8" s="162">
        <v>60</v>
      </c>
      <c r="CN8" s="162">
        <v>19</v>
      </c>
      <c r="CO8" s="162">
        <v>0</v>
      </c>
      <c r="CP8" s="162">
        <v>0</v>
      </c>
      <c r="CQ8" s="162">
        <v>1</v>
      </c>
      <c r="CR8" s="162">
        <v>1</v>
      </c>
      <c r="CS8" s="162">
        <v>1</v>
      </c>
      <c r="CT8" s="162">
        <v>0</v>
      </c>
      <c r="CU8" s="162">
        <v>0</v>
      </c>
      <c r="CV8" s="162">
        <v>4</v>
      </c>
      <c r="CW8" s="162">
        <v>4</v>
      </c>
      <c r="CX8" s="162">
        <v>4</v>
      </c>
    </row>
    <row r="9" s="128" customFormat="1" ht="18" spans="1:102">
      <c r="A9" s="161" t="s">
        <v>85</v>
      </c>
      <c r="B9" s="162">
        <v>2</v>
      </c>
      <c r="C9" s="162">
        <v>0</v>
      </c>
      <c r="D9" s="162">
        <v>1</v>
      </c>
      <c r="E9" s="162">
        <v>0</v>
      </c>
      <c r="F9" s="162">
        <v>0</v>
      </c>
      <c r="G9" s="162">
        <v>0</v>
      </c>
      <c r="H9" s="162">
        <v>0</v>
      </c>
      <c r="I9" s="162">
        <v>0</v>
      </c>
      <c r="J9" s="162">
        <v>0</v>
      </c>
      <c r="K9" s="162">
        <v>0</v>
      </c>
      <c r="L9" s="162">
        <v>1</v>
      </c>
      <c r="M9" s="162">
        <v>0</v>
      </c>
      <c r="N9" s="162">
        <v>0</v>
      </c>
      <c r="O9" s="162">
        <v>0</v>
      </c>
      <c r="P9" s="162">
        <v>0</v>
      </c>
      <c r="Q9" s="162">
        <v>0</v>
      </c>
      <c r="R9" s="162">
        <v>0</v>
      </c>
      <c r="S9" s="162">
        <v>0</v>
      </c>
      <c r="T9" s="162">
        <v>0</v>
      </c>
      <c r="U9" s="162">
        <v>0</v>
      </c>
      <c r="V9" s="162">
        <v>0</v>
      </c>
      <c r="W9" s="162">
        <v>0</v>
      </c>
      <c r="X9" s="162">
        <v>4616</v>
      </c>
      <c r="Y9" s="162">
        <v>1529</v>
      </c>
      <c r="Z9" s="162">
        <v>421</v>
      </c>
      <c r="AA9" s="162">
        <v>105</v>
      </c>
      <c r="AB9" s="162">
        <v>0</v>
      </c>
      <c r="AC9" s="162">
        <v>0</v>
      </c>
      <c r="AD9" s="162">
        <v>115</v>
      </c>
      <c r="AE9" s="162">
        <v>38</v>
      </c>
      <c r="AF9" s="162">
        <v>16</v>
      </c>
      <c r="AG9" s="162">
        <v>0</v>
      </c>
      <c r="AH9" s="162">
        <v>0</v>
      </c>
      <c r="AI9" s="162">
        <v>0</v>
      </c>
      <c r="AJ9" s="162">
        <v>0</v>
      </c>
      <c r="AK9" s="162">
        <v>0</v>
      </c>
      <c r="AL9" s="162">
        <v>0</v>
      </c>
      <c r="AM9" s="162">
        <v>0</v>
      </c>
      <c r="AN9" s="162">
        <v>0</v>
      </c>
      <c r="AO9" s="162">
        <v>0</v>
      </c>
      <c r="AP9" s="162">
        <v>0</v>
      </c>
      <c r="AQ9" s="162">
        <v>0</v>
      </c>
      <c r="AR9" s="162">
        <v>0</v>
      </c>
      <c r="AS9" s="162">
        <v>0</v>
      </c>
      <c r="AT9" s="162">
        <v>0</v>
      </c>
      <c r="AU9" s="162">
        <v>0</v>
      </c>
      <c r="AV9" s="162">
        <v>7</v>
      </c>
      <c r="AW9" s="162">
        <v>0</v>
      </c>
      <c r="AX9" s="162">
        <v>2</v>
      </c>
      <c r="AY9" s="162">
        <v>0</v>
      </c>
      <c r="AZ9" s="162">
        <v>0</v>
      </c>
      <c r="BA9" s="162">
        <v>0</v>
      </c>
      <c r="BB9" s="162">
        <v>49</v>
      </c>
      <c r="BC9" s="162">
        <v>49</v>
      </c>
      <c r="BD9" s="162">
        <v>49</v>
      </c>
      <c r="BE9" s="162">
        <v>204</v>
      </c>
      <c r="BF9" s="162">
        <v>201</v>
      </c>
      <c r="BG9" s="162">
        <v>201</v>
      </c>
      <c r="BH9" s="162">
        <v>28</v>
      </c>
      <c r="BI9" s="162">
        <v>0</v>
      </c>
      <c r="BJ9" s="162">
        <v>2</v>
      </c>
      <c r="BK9" s="162">
        <v>2</v>
      </c>
      <c r="BL9" s="162">
        <v>2</v>
      </c>
      <c r="BM9" s="162">
        <v>0</v>
      </c>
      <c r="BN9" s="162">
        <v>0</v>
      </c>
      <c r="BO9" s="162">
        <v>0</v>
      </c>
      <c r="BP9" s="162">
        <v>0</v>
      </c>
      <c r="BQ9" s="162">
        <v>0</v>
      </c>
      <c r="BR9" s="162">
        <v>0</v>
      </c>
      <c r="BS9" s="162">
        <v>0</v>
      </c>
      <c r="BT9" s="162">
        <v>0</v>
      </c>
      <c r="BU9" s="162">
        <v>0</v>
      </c>
      <c r="BV9" s="162">
        <v>0</v>
      </c>
      <c r="BW9" s="162">
        <v>0</v>
      </c>
      <c r="BX9" s="162">
        <v>0</v>
      </c>
      <c r="BY9" s="162">
        <v>0</v>
      </c>
      <c r="BZ9" s="162">
        <v>0</v>
      </c>
      <c r="CA9" s="162">
        <v>0</v>
      </c>
      <c r="CB9" s="162">
        <v>0</v>
      </c>
      <c r="CC9" s="162">
        <v>0</v>
      </c>
      <c r="CD9" s="162">
        <v>0</v>
      </c>
      <c r="CE9" s="162">
        <v>0</v>
      </c>
      <c r="CF9" s="162">
        <v>0</v>
      </c>
      <c r="CG9" s="162">
        <v>0</v>
      </c>
      <c r="CH9" s="162">
        <v>0</v>
      </c>
      <c r="CI9" s="162">
        <v>0</v>
      </c>
      <c r="CJ9" s="162">
        <v>0</v>
      </c>
      <c r="CK9" s="162">
        <v>115</v>
      </c>
      <c r="CL9" s="162">
        <v>96</v>
      </c>
      <c r="CM9" s="162">
        <v>58</v>
      </c>
      <c r="CN9" s="162">
        <v>38</v>
      </c>
      <c r="CO9" s="162">
        <v>1</v>
      </c>
      <c r="CP9" s="162">
        <v>1</v>
      </c>
      <c r="CQ9" s="162">
        <v>1</v>
      </c>
      <c r="CR9" s="162">
        <v>1</v>
      </c>
      <c r="CS9" s="162">
        <v>1</v>
      </c>
      <c r="CT9" s="162">
        <v>0</v>
      </c>
      <c r="CU9" s="162">
        <v>0</v>
      </c>
      <c r="CV9" s="162">
        <v>4</v>
      </c>
      <c r="CW9" s="162">
        <v>4</v>
      </c>
      <c r="CX9" s="162">
        <v>4</v>
      </c>
    </row>
    <row r="10" s="128" customFormat="1" ht="18" spans="1:102">
      <c r="A10" s="161" t="s">
        <v>86</v>
      </c>
      <c r="B10" s="162">
        <v>2</v>
      </c>
      <c r="C10" s="162">
        <v>0</v>
      </c>
      <c r="D10" s="162">
        <v>1</v>
      </c>
      <c r="E10" s="162">
        <v>0</v>
      </c>
      <c r="F10" s="162">
        <v>0</v>
      </c>
      <c r="G10" s="162">
        <v>0</v>
      </c>
      <c r="H10" s="162">
        <v>0</v>
      </c>
      <c r="I10" s="162">
        <v>0</v>
      </c>
      <c r="J10" s="162">
        <v>0</v>
      </c>
      <c r="K10" s="162">
        <v>0</v>
      </c>
      <c r="L10" s="162">
        <v>0</v>
      </c>
      <c r="M10" s="162">
        <v>0</v>
      </c>
      <c r="N10" s="162">
        <v>0</v>
      </c>
      <c r="O10" s="162">
        <v>0</v>
      </c>
      <c r="P10" s="162">
        <v>0</v>
      </c>
      <c r="Q10" s="162">
        <v>0</v>
      </c>
      <c r="R10" s="162">
        <v>0</v>
      </c>
      <c r="S10" s="162">
        <v>0</v>
      </c>
      <c r="T10" s="162">
        <v>0</v>
      </c>
      <c r="U10" s="162">
        <v>0</v>
      </c>
      <c r="V10" s="162">
        <v>0</v>
      </c>
      <c r="W10" s="162">
        <v>0</v>
      </c>
      <c r="X10" s="162">
        <v>4274</v>
      </c>
      <c r="Y10" s="162">
        <v>1295</v>
      </c>
      <c r="Z10" s="162">
        <v>311</v>
      </c>
      <c r="AA10" s="162">
        <v>89</v>
      </c>
      <c r="AB10" s="162">
        <v>0</v>
      </c>
      <c r="AC10" s="162">
        <v>0</v>
      </c>
      <c r="AD10" s="162">
        <v>105</v>
      </c>
      <c r="AE10" s="162">
        <v>33</v>
      </c>
      <c r="AF10" s="162">
        <v>10</v>
      </c>
      <c r="AG10" s="162">
        <v>0</v>
      </c>
      <c r="AH10" s="162">
        <v>0</v>
      </c>
      <c r="AI10" s="162">
        <v>0</v>
      </c>
      <c r="AJ10" s="162">
        <v>0</v>
      </c>
      <c r="AK10" s="162">
        <v>0</v>
      </c>
      <c r="AL10" s="162">
        <v>0</v>
      </c>
      <c r="AM10" s="162">
        <v>0</v>
      </c>
      <c r="AN10" s="162">
        <v>0</v>
      </c>
      <c r="AO10" s="162">
        <v>0</v>
      </c>
      <c r="AP10" s="162">
        <v>0</v>
      </c>
      <c r="AQ10" s="162">
        <v>0</v>
      </c>
      <c r="AR10" s="162">
        <v>0</v>
      </c>
      <c r="AS10" s="162">
        <v>0</v>
      </c>
      <c r="AT10" s="162">
        <v>0</v>
      </c>
      <c r="AU10" s="162">
        <v>0</v>
      </c>
      <c r="AV10" s="162">
        <v>6</v>
      </c>
      <c r="AW10" s="162">
        <v>0</v>
      </c>
      <c r="AX10" s="162">
        <v>3</v>
      </c>
      <c r="AY10" s="162">
        <v>0</v>
      </c>
      <c r="AZ10" s="162">
        <v>0</v>
      </c>
      <c r="BA10" s="162">
        <v>0</v>
      </c>
      <c r="BB10" s="162">
        <v>49</v>
      </c>
      <c r="BC10" s="162">
        <v>49</v>
      </c>
      <c r="BD10" s="162">
        <v>49</v>
      </c>
      <c r="BE10" s="162">
        <v>204</v>
      </c>
      <c r="BF10" s="162">
        <v>204</v>
      </c>
      <c r="BG10" s="162">
        <v>204</v>
      </c>
      <c r="BH10" s="162">
        <v>18</v>
      </c>
      <c r="BI10" s="162">
        <v>0</v>
      </c>
      <c r="BJ10" s="162">
        <v>2</v>
      </c>
      <c r="BK10" s="162">
        <v>2</v>
      </c>
      <c r="BL10" s="162">
        <v>2</v>
      </c>
      <c r="BM10" s="162">
        <v>0</v>
      </c>
      <c r="BN10" s="162">
        <v>0</v>
      </c>
      <c r="BO10" s="162">
        <v>0</v>
      </c>
      <c r="BP10" s="162">
        <v>0</v>
      </c>
      <c r="BQ10" s="162">
        <v>0</v>
      </c>
      <c r="BR10" s="162">
        <v>0</v>
      </c>
      <c r="BS10" s="162">
        <v>0</v>
      </c>
      <c r="BT10" s="162">
        <v>0</v>
      </c>
      <c r="BU10" s="162">
        <v>0</v>
      </c>
      <c r="BV10" s="162">
        <v>0</v>
      </c>
      <c r="BW10" s="162">
        <v>0</v>
      </c>
      <c r="BX10" s="162">
        <v>0</v>
      </c>
      <c r="BY10" s="162">
        <v>0</v>
      </c>
      <c r="BZ10" s="162">
        <v>0</v>
      </c>
      <c r="CA10" s="162">
        <v>0</v>
      </c>
      <c r="CB10" s="162">
        <v>0</v>
      </c>
      <c r="CC10" s="162">
        <v>0</v>
      </c>
      <c r="CD10" s="162">
        <v>0</v>
      </c>
      <c r="CE10" s="162">
        <v>0</v>
      </c>
      <c r="CF10" s="162">
        <v>0</v>
      </c>
      <c r="CG10" s="162">
        <v>0</v>
      </c>
      <c r="CH10" s="162">
        <v>0</v>
      </c>
      <c r="CI10" s="162">
        <v>0</v>
      </c>
      <c r="CJ10" s="162">
        <v>0</v>
      </c>
      <c r="CK10" s="162">
        <v>105</v>
      </c>
      <c r="CL10" s="162">
        <v>82</v>
      </c>
      <c r="CM10" s="162">
        <v>49</v>
      </c>
      <c r="CN10" s="162">
        <v>33</v>
      </c>
      <c r="CO10" s="162">
        <v>1</v>
      </c>
      <c r="CP10" s="162">
        <v>0</v>
      </c>
      <c r="CQ10" s="162">
        <v>0</v>
      </c>
      <c r="CR10" s="162">
        <v>0</v>
      </c>
      <c r="CS10" s="162">
        <v>0</v>
      </c>
      <c r="CT10" s="162">
        <v>0</v>
      </c>
      <c r="CU10" s="162">
        <v>0</v>
      </c>
      <c r="CV10" s="162">
        <v>4</v>
      </c>
      <c r="CW10" s="162">
        <v>4</v>
      </c>
      <c r="CX10" s="162">
        <v>4</v>
      </c>
    </row>
    <row r="11" s="128" customFormat="1" ht="18" spans="1:102">
      <c r="A11" s="161" t="s">
        <v>87</v>
      </c>
      <c r="B11" s="164">
        <v>3</v>
      </c>
      <c r="C11" s="164">
        <v>0</v>
      </c>
      <c r="D11" s="164">
        <v>2</v>
      </c>
      <c r="E11" s="164">
        <v>0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64">
        <v>0</v>
      </c>
      <c r="L11" s="164">
        <v>0</v>
      </c>
      <c r="M11" s="164">
        <v>0</v>
      </c>
      <c r="N11" s="164">
        <v>0</v>
      </c>
      <c r="O11" s="164">
        <v>0</v>
      </c>
      <c r="P11" s="164">
        <v>0</v>
      </c>
      <c r="Q11" s="164">
        <v>0</v>
      </c>
      <c r="R11" s="164">
        <v>0</v>
      </c>
      <c r="S11" s="164">
        <v>0</v>
      </c>
      <c r="T11" s="164">
        <v>0</v>
      </c>
      <c r="U11" s="164">
        <v>0</v>
      </c>
      <c r="V11" s="164">
        <v>0</v>
      </c>
      <c r="W11" s="164">
        <v>0</v>
      </c>
      <c r="X11" s="164">
        <v>3775</v>
      </c>
      <c r="Y11" s="164">
        <v>935</v>
      </c>
      <c r="Z11" s="164">
        <v>294</v>
      </c>
      <c r="AA11" s="164">
        <v>65</v>
      </c>
      <c r="AB11" s="164">
        <v>0</v>
      </c>
      <c r="AC11" s="164">
        <v>0</v>
      </c>
      <c r="AD11" s="164">
        <v>96</v>
      </c>
      <c r="AE11" s="164">
        <v>32</v>
      </c>
      <c r="AF11" s="164">
        <v>9</v>
      </c>
      <c r="AG11" s="164">
        <v>0</v>
      </c>
      <c r="AH11" s="164">
        <v>0</v>
      </c>
      <c r="AI11" s="164">
        <v>0</v>
      </c>
      <c r="AJ11" s="164">
        <v>0</v>
      </c>
      <c r="AK11" s="164">
        <v>0</v>
      </c>
      <c r="AL11" s="164">
        <v>0</v>
      </c>
      <c r="AM11" s="164">
        <v>0</v>
      </c>
      <c r="AN11" s="164">
        <v>0</v>
      </c>
      <c r="AO11" s="164">
        <v>0</v>
      </c>
      <c r="AP11" s="164">
        <v>0</v>
      </c>
      <c r="AQ11" s="164">
        <v>0</v>
      </c>
      <c r="AR11" s="164">
        <v>0</v>
      </c>
      <c r="AS11" s="164">
        <v>0</v>
      </c>
      <c r="AT11" s="164">
        <v>0</v>
      </c>
      <c r="AU11" s="164">
        <v>0</v>
      </c>
      <c r="AV11" s="164">
        <v>3</v>
      </c>
      <c r="AW11" s="164">
        <v>0</v>
      </c>
      <c r="AX11" s="164">
        <v>2</v>
      </c>
      <c r="AY11" s="164">
        <v>0</v>
      </c>
      <c r="AZ11" s="164">
        <v>0</v>
      </c>
      <c r="BA11" s="164">
        <v>0</v>
      </c>
      <c r="BB11" s="164">
        <v>49</v>
      </c>
      <c r="BC11" s="164">
        <v>49</v>
      </c>
      <c r="BD11" s="164">
        <v>49</v>
      </c>
      <c r="BE11" s="164">
        <v>204</v>
      </c>
      <c r="BF11" s="164">
        <v>204</v>
      </c>
      <c r="BG11" s="164">
        <v>204</v>
      </c>
      <c r="BH11" s="164">
        <v>107</v>
      </c>
      <c r="BI11" s="164">
        <v>0</v>
      </c>
      <c r="BJ11" s="164">
        <v>3</v>
      </c>
      <c r="BK11" s="164">
        <v>3</v>
      </c>
      <c r="BL11" s="164">
        <v>3</v>
      </c>
      <c r="BM11" s="164">
        <v>0</v>
      </c>
      <c r="BN11" s="164">
        <v>0</v>
      </c>
      <c r="BO11" s="164">
        <v>0</v>
      </c>
      <c r="BP11" s="164">
        <v>0</v>
      </c>
      <c r="BQ11" s="164">
        <v>0</v>
      </c>
      <c r="BR11" s="164">
        <v>0</v>
      </c>
      <c r="BS11" s="164">
        <v>0</v>
      </c>
      <c r="BT11" s="164">
        <v>0</v>
      </c>
      <c r="BU11" s="164">
        <v>0</v>
      </c>
      <c r="BV11" s="164">
        <v>0</v>
      </c>
      <c r="BW11" s="164">
        <v>0</v>
      </c>
      <c r="BX11" s="164">
        <v>0</v>
      </c>
      <c r="BY11" s="164">
        <v>0</v>
      </c>
      <c r="BZ11" s="164">
        <v>0</v>
      </c>
      <c r="CA11" s="164">
        <v>0</v>
      </c>
      <c r="CB11" s="164">
        <v>0</v>
      </c>
      <c r="CC11" s="164">
        <v>0</v>
      </c>
      <c r="CD11" s="164">
        <v>0</v>
      </c>
      <c r="CE11" s="164">
        <v>0</v>
      </c>
      <c r="CF11" s="164">
        <v>0</v>
      </c>
      <c r="CG11" s="164">
        <v>0</v>
      </c>
      <c r="CH11" s="164">
        <v>0</v>
      </c>
      <c r="CI11" s="164">
        <v>0</v>
      </c>
      <c r="CJ11" s="164">
        <v>0</v>
      </c>
      <c r="CK11" s="164">
        <v>96</v>
      </c>
      <c r="CL11" s="164">
        <v>92</v>
      </c>
      <c r="CM11" s="164">
        <v>59</v>
      </c>
      <c r="CN11" s="164">
        <v>33</v>
      </c>
      <c r="CO11" s="164">
        <v>2</v>
      </c>
      <c r="CP11" s="164">
        <v>2</v>
      </c>
      <c r="CQ11" s="164">
        <v>0</v>
      </c>
      <c r="CR11" s="164">
        <v>0</v>
      </c>
      <c r="CS11" s="164">
        <v>0</v>
      </c>
      <c r="CT11" s="164">
        <v>0</v>
      </c>
      <c r="CU11" s="164">
        <v>0</v>
      </c>
      <c r="CV11" s="162">
        <v>4</v>
      </c>
      <c r="CW11" s="162">
        <v>4</v>
      </c>
      <c r="CX11" s="162">
        <v>4</v>
      </c>
    </row>
    <row r="12" ht="18" spans="1:102">
      <c r="A12" s="165" t="s">
        <v>88</v>
      </c>
      <c r="B12" s="166">
        <v>3</v>
      </c>
      <c r="C12" s="166">
        <v>0</v>
      </c>
      <c r="D12" s="166">
        <v>0</v>
      </c>
      <c r="E12" s="166">
        <v>0</v>
      </c>
      <c r="F12" s="166">
        <v>0</v>
      </c>
      <c r="G12" s="166">
        <v>0</v>
      </c>
      <c r="H12" s="166">
        <v>0</v>
      </c>
      <c r="I12" s="166">
        <v>0</v>
      </c>
      <c r="J12" s="166">
        <v>0</v>
      </c>
      <c r="K12" s="166">
        <v>0</v>
      </c>
      <c r="L12" s="166">
        <v>0</v>
      </c>
      <c r="M12" s="166">
        <v>0</v>
      </c>
      <c r="N12" s="166">
        <v>0</v>
      </c>
      <c r="O12" s="166">
        <v>0</v>
      </c>
      <c r="P12" s="166">
        <v>0</v>
      </c>
      <c r="Q12" s="166">
        <v>0</v>
      </c>
      <c r="R12" s="166">
        <v>0</v>
      </c>
      <c r="S12" s="166">
        <v>0</v>
      </c>
      <c r="T12" s="166">
        <v>0</v>
      </c>
      <c r="U12" s="166">
        <v>0</v>
      </c>
      <c r="V12" s="166">
        <v>0</v>
      </c>
      <c r="W12" s="166">
        <v>0</v>
      </c>
      <c r="X12" s="166">
        <v>3789</v>
      </c>
      <c r="Y12" s="166">
        <v>987</v>
      </c>
      <c r="Z12" s="166">
        <v>263</v>
      </c>
      <c r="AA12" s="166">
        <v>44</v>
      </c>
      <c r="AB12" s="166">
        <v>0</v>
      </c>
      <c r="AC12" s="166">
        <v>0</v>
      </c>
      <c r="AD12" s="166">
        <v>115</v>
      </c>
      <c r="AE12" s="166">
        <v>38</v>
      </c>
      <c r="AF12" s="166">
        <v>13</v>
      </c>
      <c r="AG12" s="166">
        <v>0</v>
      </c>
      <c r="AH12" s="166">
        <v>0</v>
      </c>
      <c r="AI12" s="166">
        <v>0</v>
      </c>
      <c r="AJ12" s="166">
        <v>0</v>
      </c>
      <c r="AK12" s="166">
        <v>0</v>
      </c>
      <c r="AL12" s="166">
        <v>0</v>
      </c>
      <c r="AM12" s="166">
        <v>0</v>
      </c>
      <c r="AN12" s="166">
        <v>0</v>
      </c>
      <c r="AO12" s="166">
        <v>0</v>
      </c>
      <c r="AP12" s="166">
        <v>0</v>
      </c>
      <c r="AQ12" s="166">
        <v>0</v>
      </c>
      <c r="AR12" s="166">
        <v>0</v>
      </c>
      <c r="AS12" s="166">
        <v>0</v>
      </c>
      <c r="AT12" s="166">
        <v>0</v>
      </c>
      <c r="AU12" s="166">
        <v>0</v>
      </c>
      <c r="AV12" s="166">
        <v>3</v>
      </c>
      <c r="AW12" s="166">
        <v>0</v>
      </c>
      <c r="AX12" s="166">
        <v>5</v>
      </c>
      <c r="AY12" s="166">
        <v>0</v>
      </c>
      <c r="AZ12" s="166">
        <v>0</v>
      </c>
      <c r="BA12" s="166">
        <v>0</v>
      </c>
      <c r="BB12" s="166">
        <v>49</v>
      </c>
      <c r="BC12" s="166">
        <v>49</v>
      </c>
      <c r="BD12" s="166">
        <v>49</v>
      </c>
      <c r="BE12" s="166">
        <v>204</v>
      </c>
      <c r="BF12" s="166">
        <v>204</v>
      </c>
      <c r="BG12" s="166">
        <v>204</v>
      </c>
      <c r="BH12" s="166">
        <v>57</v>
      </c>
      <c r="BI12" s="166">
        <v>0</v>
      </c>
      <c r="BJ12" s="167">
        <v>3</v>
      </c>
      <c r="BK12" s="167">
        <v>3</v>
      </c>
      <c r="BL12" s="167">
        <v>3</v>
      </c>
      <c r="BM12" s="167">
        <v>0</v>
      </c>
      <c r="BN12" s="167">
        <v>0</v>
      </c>
      <c r="BO12" s="167">
        <v>0</v>
      </c>
      <c r="BP12" s="167">
        <v>0</v>
      </c>
      <c r="BQ12" s="167">
        <v>0</v>
      </c>
      <c r="BR12" s="167">
        <v>0</v>
      </c>
      <c r="BS12" s="167">
        <v>0</v>
      </c>
      <c r="BT12" s="167">
        <v>0</v>
      </c>
      <c r="BU12" s="167">
        <v>0</v>
      </c>
      <c r="BV12" s="167">
        <v>0</v>
      </c>
      <c r="BW12" s="167">
        <v>0</v>
      </c>
      <c r="BX12" s="167">
        <v>0</v>
      </c>
      <c r="BY12" s="167">
        <v>0</v>
      </c>
      <c r="BZ12" s="167">
        <v>0</v>
      </c>
      <c r="CA12" s="167">
        <v>0</v>
      </c>
      <c r="CB12" s="167">
        <v>0</v>
      </c>
      <c r="CC12" s="167">
        <v>0</v>
      </c>
      <c r="CD12" s="167">
        <v>0</v>
      </c>
      <c r="CE12" s="167">
        <v>0</v>
      </c>
      <c r="CF12" s="167">
        <v>0</v>
      </c>
      <c r="CG12" s="167">
        <v>0</v>
      </c>
      <c r="CH12" s="167">
        <v>0</v>
      </c>
      <c r="CI12" s="167">
        <v>0</v>
      </c>
      <c r="CJ12" s="167">
        <v>0</v>
      </c>
      <c r="CK12" s="167">
        <v>115</v>
      </c>
      <c r="CL12" s="167">
        <v>109</v>
      </c>
      <c r="CM12" s="167">
        <v>71</v>
      </c>
      <c r="CN12" s="167">
        <v>38</v>
      </c>
      <c r="CO12" s="167">
        <v>0</v>
      </c>
      <c r="CP12" s="167">
        <v>0</v>
      </c>
      <c r="CQ12" s="167">
        <v>0</v>
      </c>
      <c r="CR12" s="167">
        <v>0</v>
      </c>
      <c r="CS12" s="167">
        <v>0</v>
      </c>
      <c r="CT12" s="167">
        <v>0</v>
      </c>
      <c r="CU12" s="167">
        <v>0</v>
      </c>
      <c r="CV12" s="167">
        <v>4</v>
      </c>
      <c r="CW12" s="167">
        <v>4</v>
      </c>
      <c r="CX12" s="167">
        <v>4</v>
      </c>
    </row>
    <row r="13" ht="18" spans="1:102">
      <c r="A13" s="165" t="s">
        <v>89</v>
      </c>
      <c r="B13" s="166">
        <v>2</v>
      </c>
      <c r="C13" s="166">
        <v>0</v>
      </c>
      <c r="D13" s="166">
        <v>1</v>
      </c>
      <c r="E13" s="166">
        <v>0</v>
      </c>
      <c r="F13" s="166">
        <v>0</v>
      </c>
      <c r="G13" s="166">
        <v>0</v>
      </c>
      <c r="H13" s="166">
        <v>0</v>
      </c>
      <c r="I13" s="166">
        <v>0</v>
      </c>
      <c r="J13" s="166">
        <v>0</v>
      </c>
      <c r="K13" s="166">
        <v>0</v>
      </c>
      <c r="L13" s="166">
        <v>0</v>
      </c>
      <c r="M13" s="166">
        <v>0</v>
      </c>
      <c r="N13" s="166">
        <v>0</v>
      </c>
      <c r="O13" s="166">
        <v>0</v>
      </c>
      <c r="P13" s="166">
        <v>0</v>
      </c>
      <c r="Q13" s="166">
        <v>0</v>
      </c>
      <c r="R13" s="166">
        <v>0</v>
      </c>
      <c r="S13" s="166">
        <v>0</v>
      </c>
      <c r="T13" s="166">
        <v>0</v>
      </c>
      <c r="U13" s="166">
        <v>0</v>
      </c>
      <c r="V13" s="166">
        <v>0</v>
      </c>
      <c r="W13" s="166">
        <v>0</v>
      </c>
      <c r="X13" s="166">
        <v>3472</v>
      </c>
      <c r="Y13" s="166">
        <v>991</v>
      </c>
      <c r="Z13" s="166">
        <v>310</v>
      </c>
      <c r="AA13" s="166">
        <v>58</v>
      </c>
      <c r="AB13" s="166">
        <v>0</v>
      </c>
      <c r="AC13" s="166">
        <v>0</v>
      </c>
      <c r="AD13" s="166">
        <v>93</v>
      </c>
      <c r="AE13" s="166">
        <v>29</v>
      </c>
      <c r="AF13" s="166">
        <v>9</v>
      </c>
      <c r="AG13" s="166">
        <v>0</v>
      </c>
      <c r="AH13" s="166">
        <v>0</v>
      </c>
      <c r="AI13" s="166">
        <v>0</v>
      </c>
      <c r="AJ13" s="166">
        <v>0</v>
      </c>
      <c r="AK13" s="166">
        <v>0</v>
      </c>
      <c r="AL13" s="166">
        <v>0</v>
      </c>
      <c r="AM13" s="166">
        <v>0</v>
      </c>
      <c r="AN13" s="166">
        <v>0</v>
      </c>
      <c r="AO13" s="166">
        <v>0</v>
      </c>
      <c r="AP13" s="166">
        <v>0</v>
      </c>
      <c r="AQ13" s="166">
        <v>0</v>
      </c>
      <c r="AR13" s="166">
        <v>0</v>
      </c>
      <c r="AS13" s="166">
        <v>0</v>
      </c>
      <c r="AT13" s="166">
        <v>2</v>
      </c>
      <c r="AU13" s="166">
        <v>0</v>
      </c>
      <c r="AV13" s="166">
        <v>5</v>
      </c>
      <c r="AW13" s="166">
        <v>0</v>
      </c>
      <c r="AX13" s="166">
        <v>0</v>
      </c>
      <c r="AY13" s="166">
        <v>0</v>
      </c>
      <c r="AZ13" s="166">
        <v>0</v>
      </c>
      <c r="BA13" s="166">
        <v>0</v>
      </c>
      <c r="BB13" s="166">
        <v>49</v>
      </c>
      <c r="BC13" s="166">
        <v>49</v>
      </c>
      <c r="BD13" s="166">
        <v>49</v>
      </c>
      <c r="BE13" s="166">
        <v>204</v>
      </c>
      <c r="BF13" s="166">
        <v>204</v>
      </c>
      <c r="BG13" s="166">
        <v>204</v>
      </c>
      <c r="BH13" s="166">
        <v>54</v>
      </c>
      <c r="BI13" s="166">
        <v>0</v>
      </c>
      <c r="BJ13" s="167">
        <v>2</v>
      </c>
      <c r="BK13" s="167">
        <v>2</v>
      </c>
      <c r="BL13" s="167">
        <v>2</v>
      </c>
      <c r="BM13" s="167">
        <v>0</v>
      </c>
      <c r="BN13" s="167">
        <v>0</v>
      </c>
      <c r="BO13" s="167">
        <v>0</v>
      </c>
      <c r="BP13" s="167">
        <v>0</v>
      </c>
      <c r="BQ13" s="167">
        <v>0</v>
      </c>
      <c r="BR13" s="167">
        <v>0</v>
      </c>
      <c r="BS13" s="167">
        <v>0</v>
      </c>
      <c r="BT13" s="167">
        <v>0</v>
      </c>
      <c r="BU13" s="167">
        <v>0</v>
      </c>
      <c r="BV13" s="167">
        <v>0</v>
      </c>
      <c r="BW13" s="167">
        <v>0</v>
      </c>
      <c r="BX13" s="167">
        <v>0</v>
      </c>
      <c r="BY13" s="167">
        <v>0</v>
      </c>
      <c r="BZ13" s="167">
        <v>0</v>
      </c>
      <c r="CA13" s="167">
        <v>0</v>
      </c>
      <c r="CB13" s="167">
        <v>0</v>
      </c>
      <c r="CC13" s="167">
        <v>0</v>
      </c>
      <c r="CD13" s="167">
        <v>0</v>
      </c>
      <c r="CE13" s="167">
        <v>0</v>
      </c>
      <c r="CF13" s="167">
        <v>0</v>
      </c>
      <c r="CG13" s="167">
        <v>0</v>
      </c>
      <c r="CH13" s="167">
        <v>0</v>
      </c>
      <c r="CI13" s="167">
        <v>0</v>
      </c>
      <c r="CJ13" s="167">
        <v>0</v>
      </c>
      <c r="CK13" s="167">
        <v>93</v>
      </c>
      <c r="CL13" s="167">
        <v>88</v>
      </c>
      <c r="CM13" s="167">
        <v>61</v>
      </c>
      <c r="CN13" s="167">
        <v>27</v>
      </c>
      <c r="CO13" s="167">
        <v>1</v>
      </c>
      <c r="CP13" s="167">
        <v>1</v>
      </c>
      <c r="CQ13" s="167">
        <v>0</v>
      </c>
      <c r="CR13" s="167">
        <v>0</v>
      </c>
      <c r="CS13" s="167">
        <v>0</v>
      </c>
      <c r="CT13" s="167">
        <v>0</v>
      </c>
      <c r="CU13" s="167">
        <v>0</v>
      </c>
      <c r="CV13" s="167">
        <v>4</v>
      </c>
      <c r="CW13" s="167">
        <v>4</v>
      </c>
      <c r="CX13" s="167">
        <v>4</v>
      </c>
    </row>
    <row r="14" ht="18" spans="1:102">
      <c r="A14" s="165" t="s">
        <v>90</v>
      </c>
      <c r="B14" s="166">
        <v>3</v>
      </c>
      <c r="C14" s="166">
        <v>0</v>
      </c>
      <c r="D14" s="166">
        <v>1</v>
      </c>
      <c r="E14" s="166">
        <v>0</v>
      </c>
      <c r="F14" s="166">
        <v>0</v>
      </c>
      <c r="G14" s="166">
        <v>0</v>
      </c>
      <c r="H14" s="166">
        <v>0</v>
      </c>
      <c r="I14" s="166">
        <v>0</v>
      </c>
      <c r="J14" s="166">
        <v>0</v>
      </c>
      <c r="K14" s="166">
        <v>0</v>
      </c>
      <c r="L14" s="166">
        <v>0</v>
      </c>
      <c r="M14" s="166">
        <v>0</v>
      </c>
      <c r="N14" s="166">
        <v>0</v>
      </c>
      <c r="O14" s="166">
        <v>0</v>
      </c>
      <c r="P14" s="166">
        <v>0</v>
      </c>
      <c r="Q14" s="166">
        <v>0</v>
      </c>
      <c r="R14" s="166">
        <v>0</v>
      </c>
      <c r="S14" s="166">
        <v>0</v>
      </c>
      <c r="T14" s="166">
        <v>0</v>
      </c>
      <c r="U14" s="166">
        <v>0</v>
      </c>
      <c r="V14" s="166">
        <v>0</v>
      </c>
      <c r="W14" s="166">
        <v>0</v>
      </c>
      <c r="X14" s="166">
        <v>3512</v>
      </c>
      <c r="Y14" s="166">
        <v>1137</v>
      </c>
      <c r="Z14" s="166">
        <v>284</v>
      </c>
      <c r="AA14" s="166">
        <v>67</v>
      </c>
      <c r="AB14" s="166">
        <v>1</v>
      </c>
      <c r="AC14" s="166">
        <v>0</v>
      </c>
      <c r="AD14" s="166">
        <v>93</v>
      </c>
      <c r="AE14" s="166">
        <v>31</v>
      </c>
      <c r="AF14" s="166">
        <v>9</v>
      </c>
      <c r="AG14" s="166">
        <v>0</v>
      </c>
      <c r="AH14" s="166">
        <v>0</v>
      </c>
      <c r="AI14" s="166">
        <v>0</v>
      </c>
      <c r="AJ14" s="166">
        <v>0</v>
      </c>
      <c r="AK14" s="166">
        <v>0</v>
      </c>
      <c r="AL14" s="166">
        <v>0</v>
      </c>
      <c r="AM14" s="166">
        <v>0</v>
      </c>
      <c r="AN14" s="166">
        <v>0</v>
      </c>
      <c r="AO14" s="166">
        <v>0</v>
      </c>
      <c r="AP14" s="166">
        <v>0</v>
      </c>
      <c r="AQ14" s="166">
        <v>0</v>
      </c>
      <c r="AR14" s="166">
        <v>0</v>
      </c>
      <c r="AS14" s="166">
        <v>0</v>
      </c>
      <c r="AT14" s="166">
        <v>0</v>
      </c>
      <c r="AU14" s="166">
        <v>0</v>
      </c>
      <c r="AV14" s="166">
        <v>9</v>
      </c>
      <c r="AW14" s="166">
        <v>0</v>
      </c>
      <c r="AX14" s="166">
        <v>0</v>
      </c>
      <c r="AY14" s="166">
        <v>0</v>
      </c>
      <c r="AZ14" s="166">
        <v>0</v>
      </c>
      <c r="BA14" s="166">
        <v>0</v>
      </c>
      <c r="BB14" s="166">
        <v>49</v>
      </c>
      <c r="BC14" s="166">
        <v>49</v>
      </c>
      <c r="BD14" s="166">
        <v>49</v>
      </c>
      <c r="BE14" s="166">
        <v>204</v>
      </c>
      <c r="BF14" s="166">
        <v>204</v>
      </c>
      <c r="BG14" s="166">
        <v>204</v>
      </c>
      <c r="BH14" s="166">
        <v>41</v>
      </c>
      <c r="BI14" s="166">
        <v>0</v>
      </c>
      <c r="BJ14" s="167">
        <v>3</v>
      </c>
      <c r="BK14" s="167">
        <v>3</v>
      </c>
      <c r="BL14" s="167">
        <v>3</v>
      </c>
      <c r="BM14" s="167">
        <v>0</v>
      </c>
      <c r="BN14" s="167">
        <v>0</v>
      </c>
      <c r="BO14" s="167">
        <v>0</v>
      </c>
      <c r="BP14" s="167">
        <v>0</v>
      </c>
      <c r="BQ14" s="167">
        <v>0</v>
      </c>
      <c r="BR14" s="167">
        <v>0</v>
      </c>
      <c r="BS14" s="167">
        <v>0</v>
      </c>
      <c r="BT14" s="167">
        <v>0</v>
      </c>
      <c r="BU14" s="167">
        <v>0</v>
      </c>
      <c r="BV14" s="167">
        <v>0</v>
      </c>
      <c r="BW14" s="167">
        <v>0</v>
      </c>
      <c r="BX14" s="167">
        <v>0</v>
      </c>
      <c r="BY14" s="167">
        <v>0</v>
      </c>
      <c r="BZ14" s="167">
        <v>0</v>
      </c>
      <c r="CA14" s="167">
        <v>0</v>
      </c>
      <c r="CB14" s="167">
        <v>0</v>
      </c>
      <c r="CC14" s="167">
        <v>0</v>
      </c>
      <c r="CD14" s="167">
        <v>0</v>
      </c>
      <c r="CE14" s="167">
        <v>0</v>
      </c>
      <c r="CF14" s="167">
        <v>0</v>
      </c>
      <c r="CG14" s="167">
        <v>0</v>
      </c>
      <c r="CH14" s="167">
        <v>0</v>
      </c>
      <c r="CI14" s="167">
        <v>0</v>
      </c>
      <c r="CJ14" s="167">
        <v>0</v>
      </c>
      <c r="CK14" s="167">
        <v>93</v>
      </c>
      <c r="CL14" s="167">
        <v>81</v>
      </c>
      <c r="CM14" s="167">
        <v>50</v>
      </c>
      <c r="CN14" s="167">
        <v>31</v>
      </c>
      <c r="CO14" s="167">
        <v>1</v>
      </c>
      <c r="CP14" s="167">
        <v>1</v>
      </c>
      <c r="CQ14" s="167">
        <v>0</v>
      </c>
      <c r="CR14" s="167">
        <v>0</v>
      </c>
      <c r="CS14" s="167">
        <v>0</v>
      </c>
      <c r="CT14" s="167">
        <v>0</v>
      </c>
      <c r="CU14" s="167">
        <v>0</v>
      </c>
      <c r="CV14" s="167">
        <v>4</v>
      </c>
      <c r="CW14" s="167">
        <v>4</v>
      </c>
      <c r="CX14" s="167">
        <v>4</v>
      </c>
    </row>
    <row r="15" ht="18" spans="1:102">
      <c r="A15" s="165" t="s">
        <v>91</v>
      </c>
      <c r="B15" s="166">
        <v>0</v>
      </c>
      <c r="C15" s="166">
        <v>0</v>
      </c>
      <c r="D15" s="166">
        <v>0</v>
      </c>
      <c r="E15" s="166">
        <v>0</v>
      </c>
      <c r="F15" s="166">
        <v>0</v>
      </c>
      <c r="G15" s="166">
        <v>0</v>
      </c>
      <c r="H15" s="166">
        <v>0</v>
      </c>
      <c r="I15" s="166">
        <v>0</v>
      </c>
      <c r="J15" s="166">
        <v>0</v>
      </c>
      <c r="K15" s="166">
        <v>0</v>
      </c>
      <c r="L15" s="166">
        <v>1</v>
      </c>
      <c r="M15" s="166">
        <v>0</v>
      </c>
      <c r="N15" s="166">
        <v>0</v>
      </c>
      <c r="O15" s="166">
        <v>0</v>
      </c>
      <c r="P15" s="166">
        <v>0</v>
      </c>
      <c r="Q15" s="166">
        <v>0</v>
      </c>
      <c r="R15" s="166">
        <v>0</v>
      </c>
      <c r="S15" s="166">
        <v>0</v>
      </c>
      <c r="T15" s="166">
        <v>0</v>
      </c>
      <c r="U15" s="166">
        <v>0</v>
      </c>
      <c r="V15" s="166">
        <v>0</v>
      </c>
      <c r="W15" s="166">
        <v>0</v>
      </c>
      <c r="X15" s="166">
        <v>3244</v>
      </c>
      <c r="Y15" s="166">
        <v>924</v>
      </c>
      <c r="Z15" s="166">
        <v>256</v>
      </c>
      <c r="AA15" s="166">
        <v>56</v>
      </c>
      <c r="AB15" s="166">
        <v>0</v>
      </c>
      <c r="AC15" s="166">
        <v>0</v>
      </c>
      <c r="AD15" s="166">
        <v>91</v>
      </c>
      <c r="AE15" s="166">
        <v>26</v>
      </c>
      <c r="AF15" s="166">
        <v>9</v>
      </c>
      <c r="AG15" s="166">
        <v>0</v>
      </c>
      <c r="AH15" s="166">
        <v>0</v>
      </c>
      <c r="AI15" s="166">
        <v>0</v>
      </c>
      <c r="AJ15" s="166">
        <v>0</v>
      </c>
      <c r="AK15" s="166">
        <v>0</v>
      </c>
      <c r="AL15" s="166">
        <v>0</v>
      </c>
      <c r="AM15" s="166">
        <v>0</v>
      </c>
      <c r="AN15" s="166">
        <v>0</v>
      </c>
      <c r="AO15" s="166">
        <v>0</v>
      </c>
      <c r="AP15" s="166">
        <v>0</v>
      </c>
      <c r="AQ15" s="166">
        <v>0</v>
      </c>
      <c r="AR15" s="166">
        <v>0</v>
      </c>
      <c r="AS15" s="166">
        <v>0</v>
      </c>
      <c r="AT15" s="166">
        <v>0</v>
      </c>
      <c r="AU15" s="166">
        <v>0</v>
      </c>
      <c r="AV15" s="166">
        <v>4</v>
      </c>
      <c r="AW15" s="166">
        <v>0</v>
      </c>
      <c r="AX15" s="166">
        <v>2</v>
      </c>
      <c r="AY15" s="166">
        <v>0</v>
      </c>
      <c r="AZ15" s="166">
        <v>0</v>
      </c>
      <c r="BA15" s="166">
        <v>0</v>
      </c>
      <c r="BB15" s="166">
        <v>49</v>
      </c>
      <c r="BC15" s="166">
        <v>49</v>
      </c>
      <c r="BD15" s="166">
        <v>49</v>
      </c>
      <c r="BE15" s="166">
        <v>204</v>
      </c>
      <c r="BF15" s="166">
        <v>204</v>
      </c>
      <c r="BG15" s="166">
        <v>204</v>
      </c>
      <c r="BH15" s="166">
        <v>35</v>
      </c>
      <c r="BI15" s="166">
        <v>0</v>
      </c>
      <c r="BJ15" s="167">
        <v>0</v>
      </c>
      <c r="BK15" s="167">
        <v>0</v>
      </c>
      <c r="BL15" s="167">
        <v>0</v>
      </c>
      <c r="BM15" s="167">
        <v>0</v>
      </c>
      <c r="BN15" s="167">
        <v>0</v>
      </c>
      <c r="BO15" s="167">
        <v>0</v>
      </c>
      <c r="BP15" s="167">
        <v>0</v>
      </c>
      <c r="BQ15" s="167">
        <v>0</v>
      </c>
      <c r="BR15" s="167">
        <v>0</v>
      </c>
      <c r="BS15" s="167">
        <v>0</v>
      </c>
      <c r="BT15" s="167">
        <v>0</v>
      </c>
      <c r="BU15" s="167">
        <v>0</v>
      </c>
      <c r="BV15" s="167">
        <v>0</v>
      </c>
      <c r="BW15" s="167">
        <v>0</v>
      </c>
      <c r="BX15" s="167">
        <v>0</v>
      </c>
      <c r="BY15" s="167">
        <v>0</v>
      </c>
      <c r="BZ15" s="167">
        <v>0</v>
      </c>
      <c r="CA15" s="167">
        <v>0</v>
      </c>
      <c r="CB15" s="167">
        <v>0</v>
      </c>
      <c r="CC15" s="167">
        <v>0</v>
      </c>
      <c r="CD15" s="167">
        <v>0</v>
      </c>
      <c r="CE15" s="167">
        <v>0</v>
      </c>
      <c r="CF15" s="167">
        <v>0</v>
      </c>
      <c r="CG15" s="167">
        <v>0</v>
      </c>
      <c r="CH15" s="167">
        <v>0</v>
      </c>
      <c r="CI15" s="167">
        <v>0</v>
      </c>
      <c r="CJ15" s="167">
        <v>0</v>
      </c>
      <c r="CK15" s="167">
        <v>91</v>
      </c>
      <c r="CL15" s="167">
        <v>77</v>
      </c>
      <c r="CM15" s="167">
        <v>51</v>
      </c>
      <c r="CN15" s="167">
        <v>26</v>
      </c>
      <c r="CO15" s="167">
        <v>0</v>
      </c>
      <c r="CP15" s="167">
        <v>0</v>
      </c>
      <c r="CQ15" s="167">
        <v>1</v>
      </c>
      <c r="CR15" s="167">
        <v>1</v>
      </c>
      <c r="CS15" s="167">
        <v>0</v>
      </c>
      <c r="CT15" s="167">
        <v>0</v>
      </c>
      <c r="CU15" s="167">
        <v>0</v>
      </c>
      <c r="CV15" s="167">
        <v>4</v>
      </c>
      <c r="CW15" s="167">
        <v>4</v>
      </c>
      <c r="CX15" s="167">
        <v>4</v>
      </c>
    </row>
    <row r="16" ht="18" spans="1:102">
      <c r="A16" s="165" t="s">
        <v>92</v>
      </c>
      <c r="B16" s="165">
        <v>2</v>
      </c>
      <c r="C16" s="165">
        <v>0</v>
      </c>
      <c r="D16" s="165">
        <v>2</v>
      </c>
      <c r="E16" s="165">
        <v>0</v>
      </c>
      <c r="F16" s="165">
        <v>0</v>
      </c>
      <c r="G16" s="165">
        <v>0</v>
      </c>
      <c r="H16" s="165">
        <v>0</v>
      </c>
      <c r="I16" s="165">
        <v>0</v>
      </c>
      <c r="J16" s="165">
        <v>0</v>
      </c>
      <c r="K16" s="165">
        <v>0</v>
      </c>
      <c r="L16" s="165">
        <v>0</v>
      </c>
      <c r="M16" s="165">
        <v>0</v>
      </c>
      <c r="N16" s="165">
        <v>0</v>
      </c>
      <c r="O16" s="165">
        <v>0</v>
      </c>
      <c r="P16" s="165">
        <v>0</v>
      </c>
      <c r="Q16" s="165">
        <v>0</v>
      </c>
      <c r="R16" s="166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2943</v>
      </c>
      <c r="Y16" s="165">
        <v>901</v>
      </c>
      <c r="Z16" s="165">
        <v>225</v>
      </c>
      <c r="AA16" s="165">
        <v>40</v>
      </c>
      <c r="AB16" s="165">
        <v>0</v>
      </c>
      <c r="AC16" s="165">
        <v>0</v>
      </c>
      <c r="AD16" s="165">
        <v>57</v>
      </c>
      <c r="AE16" s="165">
        <v>21</v>
      </c>
      <c r="AF16" s="165">
        <v>7</v>
      </c>
      <c r="AG16" s="165">
        <v>0</v>
      </c>
      <c r="AH16" s="165">
        <v>0</v>
      </c>
      <c r="AI16" s="165">
        <v>0</v>
      </c>
      <c r="AJ16" s="165">
        <v>0</v>
      </c>
      <c r="AK16" s="165">
        <v>0</v>
      </c>
      <c r="AL16" s="165">
        <v>0</v>
      </c>
      <c r="AM16" s="165">
        <v>0</v>
      </c>
      <c r="AN16" s="165">
        <v>0</v>
      </c>
      <c r="AO16" s="165">
        <v>0</v>
      </c>
      <c r="AP16" s="165">
        <v>0</v>
      </c>
      <c r="AQ16" s="165">
        <v>0</v>
      </c>
      <c r="AR16" s="165">
        <v>0</v>
      </c>
      <c r="AS16" s="165">
        <v>0</v>
      </c>
      <c r="AT16" s="165">
        <v>4</v>
      </c>
      <c r="AU16" s="165">
        <v>0</v>
      </c>
      <c r="AV16" s="165">
        <v>7</v>
      </c>
      <c r="AW16" s="165">
        <v>0</v>
      </c>
      <c r="AX16" s="165">
        <v>6</v>
      </c>
      <c r="AY16" s="165">
        <v>0</v>
      </c>
      <c r="AZ16" s="165">
        <v>0</v>
      </c>
      <c r="BA16" s="165">
        <v>0</v>
      </c>
      <c r="BB16" s="165">
        <v>49</v>
      </c>
      <c r="BC16" s="165">
        <v>49</v>
      </c>
      <c r="BD16" s="165">
        <v>49</v>
      </c>
      <c r="BE16" s="165">
        <v>204</v>
      </c>
      <c r="BF16" s="165">
        <v>204</v>
      </c>
      <c r="BG16" s="165">
        <v>204</v>
      </c>
      <c r="BH16" s="165">
        <v>108</v>
      </c>
      <c r="BI16" s="165">
        <v>0</v>
      </c>
      <c r="BJ16" s="168">
        <v>1</v>
      </c>
      <c r="BK16" s="168">
        <v>1</v>
      </c>
      <c r="BL16" s="168">
        <v>1</v>
      </c>
      <c r="BM16" s="168">
        <v>0</v>
      </c>
      <c r="BN16" s="168">
        <v>0</v>
      </c>
      <c r="BO16" s="168">
        <v>0</v>
      </c>
      <c r="BP16" s="168">
        <v>0</v>
      </c>
      <c r="BQ16" s="168">
        <v>0</v>
      </c>
      <c r="BR16" s="168">
        <v>0</v>
      </c>
      <c r="BS16" s="168">
        <v>0</v>
      </c>
      <c r="BT16" s="168">
        <v>0</v>
      </c>
      <c r="BU16" s="168">
        <v>0</v>
      </c>
      <c r="BV16" s="168">
        <v>0</v>
      </c>
      <c r="BW16" s="168">
        <v>0</v>
      </c>
      <c r="BX16" s="168">
        <v>0</v>
      </c>
      <c r="BY16" s="168">
        <v>0</v>
      </c>
      <c r="BZ16" s="168">
        <v>0</v>
      </c>
      <c r="CA16" s="168">
        <v>0</v>
      </c>
      <c r="CB16" s="168">
        <v>0</v>
      </c>
      <c r="CC16" s="168">
        <v>0</v>
      </c>
      <c r="CD16" s="168">
        <v>0</v>
      </c>
      <c r="CE16" s="168">
        <v>0</v>
      </c>
      <c r="CF16" s="168">
        <v>0</v>
      </c>
      <c r="CG16" s="168">
        <v>0</v>
      </c>
      <c r="CH16" s="168">
        <v>0</v>
      </c>
      <c r="CI16" s="168">
        <v>0</v>
      </c>
      <c r="CJ16" s="168">
        <v>0</v>
      </c>
      <c r="CK16" s="168">
        <v>57</v>
      </c>
      <c r="CL16" s="168">
        <v>50</v>
      </c>
      <c r="CM16" s="168">
        <v>29</v>
      </c>
      <c r="CN16" s="168">
        <v>21</v>
      </c>
      <c r="CO16" s="168">
        <v>2</v>
      </c>
      <c r="CP16" s="168">
        <v>2</v>
      </c>
      <c r="CQ16" s="168">
        <v>0</v>
      </c>
      <c r="CR16" s="168">
        <v>0</v>
      </c>
      <c r="CS16" s="168">
        <v>0</v>
      </c>
      <c r="CT16" s="168">
        <v>0</v>
      </c>
      <c r="CU16" s="168">
        <v>0</v>
      </c>
      <c r="CV16" s="167">
        <v>4</v>
      </c>
      <c r="CW16" s="167">
        <v>4</v>
      </c>
      <c r="CX16" s="167">
        <v>4</v>
      </c>
    </row>
    <row r="17" ht="18" spans="1:102">
      <c r="A17" s="165" t="s">
        <v>93</v>
      </c>
      <c r="B17" s="166">
        <v>0</v>
      </c>
      <c r="C17" s="166">
        <v>0</v>
      </c>
      <c r="D17" s="166">
        <v>1</v>
      </c>
      <c r="E17" s="166">
        <v>0</v>
      </c>
      <c r="F17" s="166">
        <v>0</v>
      </c>
      <c r="G17" s="166">
        <v>0</v>
      </c>
      <c r="H17" s="166">
        <v>0</v>
      </c>
      <c r="I17" s="166">
        <v>0</v>
      </c>
      <c r="J17" s="166">
        <v>0</v>
      </c>
      <c r="K17" s="166">
        <v>0</v>
      </c>
      <c r="L17" s="166">
        <v>0</v>
      </c>
      <c r="M17" s="166">
        <v>0</v>
      </c>
      <c r="N17" s="166">
        <v>0</v>
      </c>
      <c r="O17" s="166">
        <v>0</v>
      </c>
      <c r="P17" s="166">
        <v>0</v>
      </c>
      <c r="Q17" s="166">
        <v>0</v>
      </c>
      <c r="R17" s="166">
        <v>0</v>
      </c>
      <c r="S17" s="166">
        <v>0</v>
      </c>
      <c r="T17" s="166">
        <v>0</v>
      </c>
      <c r="U17" s="166">
        <v>0</v>
      </c>
      <c r="V17" s="166">
        <v>0</v>
      </c>
      <c r="W17" s="166">
        <v>0</v>
      </c>
      <c r="X17" s="166">
        <v>2950</v>
      </c>
      <c r="Y17" s="166">
        <v>837</v>
      </c>
      <c r="Z17" s="166">
        <v>243</v>
      </c>
      <c r="AA17" s="166">
        <v>38</v>
      </c>
      <c r="AB17" s="166">
        <v>0</v>
      </c>
      <c r="AC17" s="166">
        <v>0</v>
      </c>
      <c r="AD17" s="166">
        <v>84</v>
      </c>
      <c r="AE17" s="166">
        <v>31</v>
      </c>
      <c r="AF17" s="166">
        <v>11</v>
      </c>
      <c r="AG17" s="166">
        <v>0</v>
      </c>
      <c r="AH17" s="166">
        <v>0</v>
      </c>
      <c r="AI17" s="166">
        <v>0</v>
      </c>
      <c r="AJ17" s="166">
        <v>0</v>
      </c>
      <c r="AK17" s="166">
        <v>0</v>
      </c>
      <c r="AL17" s="166">
        <v>0</v>
      </c>
      <c r="AM17" s="166">
        <v>0</v>
      </c>
      <c r="AN17" s="166">
        <v>0</v>
      </c>
      <c r="AO17" s="166">
        <v>0</v>
      </c>
      <c r="AP17" s="166">
        <v>0</v>
      </c>
      <c r="AQ17" s="166">
        <v>0</v>
      </c>
      <c r="AR17" s="166">
        <v>0</v>
      </c>
      <c r="AS17" s="166">
        <v>0</v>
      </c>
      <c r="AT17" s="166">
        <v>1</v>
      </c>
      <c r="AU17" s="166">
        <v>0</v>
      </c>
      <c r="AV17" s="166">
        <v>10</v>
      </c>
      <c r="AW17" s="166">
        <v>0</v>
      </c>
      <c r="AX17" s="166">
        <v>8</v>
      </c>
      <c r="AY17" s="166">
        <v>0</v>
      </c>
      <c r="AZ17" s="166">
        <v>1</v>
      </c>
      <c r="BA17" s="166">
        <v>1</v>
      </c>
      <c r="BB17" s="166">
        <v>49</v>
      </c>
      <c r="BC17" s="166">
        <v>49</v>
      </c>
      <c r="BD17" s="166">
        <v>49</v>
      </c>
      <c r="BE17" s="166">
        <v>204</v>
      </c>
      <c r="BF17" s="166">
        <v>204</v>
      </c>
      <c r="BG17" s="166">
        <v>204</v>
      </c>
      <c r="BH17" s="166">
        <v>82</v>
      </c>
      <c r="BI17" s="166">
        <v>0</v>
      </c>
      <c r="BJ17" s="167">
        <v>0</v>
      </c>
      <c r="BK17" s="167">
        <v>0</v>
      </c>
      <c r="BL17" s="167">
        <v>0</v>
      </c>
      <c r="BM17" s="167">
        <v>0</v>
      </c>
      <c r="BN17" s="167">
        <v>0</v>
      </c>
      <c r="BO17" s="167">
        <v>0</v>
      </c>
      <c r="BP17" s="167">
        <v>0</v>
      </c>
      <c r="BQ17" s="167">
        <v>0</v>
      </c>
      <c r="BR17" s="167">
        <v>0</v>
      </c>
      <c r="BS17" s="167">
        <v>0</v>
      </c>
      <c r="BT17" s="167">
        <v>0</v>
      </c>
      <c r="BU17" s="167">
        <v>0</v>
      </c>
      <c r="BV17" s="167">
        <v>0</v>
      </c>
      <c r="BW17" s="167">
        <v>0</v>
      </c>
      <c r="BX17" s="167">
        <v>0</v>
      </c>
      <c r="BY17" s="167">
        <v>0</v>
      </c>
      <c r="BZ17" s="167">
        <v>0</v>
      </c>
      <c r="CA17" s="167">
        <v>0</v>
      </c>
      <c r="CB17" s="167">
        <v>0</v>
      </c>
      <c r="CC17" s="167">
        <v>0</v>
      </c>
      <c r="CD17" s="167">
        <v>0</v>
      </c>
      <c r="CE17" s="167">
        <v>0</v>
      </c>
      <c r="CF17" s="167">
        <v>0</v>
      </c>
      <c r="CG17" s="167">
        <v>0</v>
      </c>
      <c r="CH17" s="167">
        <v>0</v>
      </c>
      <c r="CI17" s="167">
        <v>0</v>
      </c>
      <c r="CJ17" s="167">
        <v>0</v>
      </c>
      <c r="CK17" s="167">
        <v>84</v>
      </c>
      <c r="CL17" s="167">
        <v>75</v>
      </c>
      <c r="CM17" s="167">
        <v>44</v>
      </c>
      <c r="CN17" s="167">
        <v>31</v>
      </c>
      <c r="CO17" s="167">
        <v>1</v>
      </c>
      <c r="CP17" s="167">
        <v>1</v>
      </c>
      <c r="CQ17" s="167">
        <v>0</v>
      </c>
      <c r="CR17" s="167">
        <v>0</v>
      </c>
      <c r="CS17" s="167">
        <v>0</v>
      </c>
      <c r="CT17" s="167">
        <v>0</v>
      </c>
      <c r="CU17" s="167">
        <v>0</v>
      </c>
      <c r="CV17" s="167">
        <v>4</v>
      </c>
      <c r="CW17" s="167">
        <v>4</v>
      </c>
      <c r="CX17" s="167">
        <v>4</v>
      </c>
    </row>
    <row r="18" ht="18" spans="1:102">
      <c r="A18" s="165" t="s">
        <v>94</v>
      </c>
      <c r="B18" s="166">
        <v>1</v>
      </c>
      <c r="C18" s="166">
        <v>0</v>
      </c>
      <c r="D18" s="166">
        <v>0</v>
      </c>
      <c r="E18" s="166">
        <v>0</v>
      </c>
      <c r="F18" s="166">
        <v>0</v>
      </c>
      <c r="G18" s="166">
        <v>0</v>
      </c>
      <c r="H18" s="166">
        <v>0</v>
      </c>
      <c r="I18" s="166">
        <v>0</v>
      </c>
      <c r="J18" s="166">
        <v>0</v>
      </c>
      <c r="K18" s="166">
        <v>0</v>
      </c>
      <c r="L18" s="166">
        <v>0</v>
      </c>
      <c r="M18" s="166">
        <v>0</v>
      </c>
      <c r="N18" s="166">
        <v>0</v>
      </c>
      <c r="O18" s="166">
        <v>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2791</v>
      </c>
      <c r="Y18" s="166">
        <v>802</v>
      </c>
      <c r="Z18" s="166">
        <v>209</v>
      </c>
      <c r="AA18" s="166">
        <v>33</v>
      </c>
      <c r="AB18" s="166">
        <v>0</v>
      </c>
      <c r="AC18" s="166">
        <v>0</v>
      </c>
      <c r="AD18" s="166">
        <v>63</v>
      </c>
      <c r="AE18" s="166">
        <v>22</v>
      </c>
      <c r="AF18" s="166">
        <v>5</v>
      </c>
      <c r="AG18" s="166">
        <v>0</v>
      </c>
      <c r="AH18" s="166">
        <v>0</v>
      </c>
      <c r="AI18" s="166">
        <v>0</v>
      </c>
      <c r="AJ18" s="166">
        <v>0</v>
      </c>
      <c r="AK18" s="166">
        <v>0</v>
      </c>
      <c r="AL18" s="166">
        <v>0</v>
      </c>
      <c r="AM18" s="166">
        <v>0</v>
      </c>
      <c r="AN18" s="166">
        <v>0</v>
      </c>
      <c r="AO18" s="166">
        <v>0</v>
      </c>
      <c r="AP18" s="166">
        <v>0</v>
      </c>
      <c r="AQ18" s="166">
        <v>0</v>
      </c>
      <c r="AR18" s="166">
        <v>0</v>
      </c>
      <c r="AS18" s="166">
        <v>0</v>
      </c>
      <c r="AT18" s="166">
        <v>1</v>
      </c>
      <c r="AU18" s="166">
        <v>0</v>
      </c>
      <c r="AV18" s="166">
        <v>6</v>
      </c>
      <c r="AW18" s="166">
        <v>0</v>
      </c>
      <c r="AX18" s="166">
        <v>2</v>
      </c>
      <c r="AY18" s="166">
        <v>0</v>
      </c>
      <c r="AZ18" s="166">
        <v>0</v>
      </c>
      <c r="BA18" s="166">
        <v>0</v>
      </c>
      <c r="BB18" s="166">
        <v>49</v>
      </c>
      <c r="BC18" s="166">
        <v>49</v>
      </c>
      <c r="BD18" s="166">
        <v>49</v>
      </c>
      <c r="BE18" s="166">
        <v>204</v>
      </c>
      <c r="BF18" s="166">
        <v>204</v>
      </c>
      <c r="BG18" s="166">
        <v>204</v>
      </c>
      <c r="BH18" s="166">
        <v>23</v>
      </c>
      <c r="BI18" s="166">
        <v>0</v>
      </c>
      <c r="BJ18" s="167">
        <v>1</v>
      </c>
      <c r="BK18" s="167">
        <v>1</v>
      </c>
      <c r="BL18" s="167">
        <v>1</v>
      </c>
      <c r="BM18" s="167">
        <v>0</v>
      </c>
      <c r="BN18" s="167">
        <v>0</v>
      </c>
      <c r="BO18" s="167">
        <v>0</v>
      </c>
      <c r="BP18" s="167">
        <v>0</v>
      </c>
      <c r="BQ18" s="167">
        <v>0</v>
      </c>
      <c r="BR18" s="167">
        <v>0</v>
      </c>
      <c r="BS18" s="167">
        <v>0</v>
      </c>
      <c r="BT18" s="167">
        <v>0</v>
      </c>
      <c r="BU18" s="167">
        <v>0</v>
      </c>
      <c r="BV18" s="167">
        <v>0</v>
      </c>
      <c r="BW18" s="167">
        <v>0</v>
      </c>
      <c r="BX18" s="167">
        <v>0</v>
      </c>
      <c r="BY18" s="167">
        <v>0</v>
      </c>
      <c r="BZ18" s="167">
        <v>0</v>
      </c>
      <c r="CA18" s="167">
        <v>0</v>
      </c>
      <c r="CB18" s="167">
        <v>0</v>
      </c>
      <c r="CC18" s="167">
        <v>0</v>
      </c>
      <c r="CD18" s="167">
        <v>0</v>
      </c>
      <c r="CE18" s="167">
        <v>0</v>
      </c>
      <c r="CF18" s="167">
        <v>0</v>
      </c>
      <c r="CG18" s="167">
        <v>0</v>
      </c>
      <c r="CH18" s="167">
        <v>0</v>
      </c>
      <c r="CI18" s="167">
        <v>0</v>
      </c>
      <c r="CJ18" s="167">
        <v>0</v>
      </c>
      <c r="CK18" s="167">
        <v>63</v>
      </c>
      <c r="CL18" s="167">
        <v>61</v>
      </c>
      <c r="CM18" s="167">
        <v>39</v>
      </c>
      <c r="CN18" s="167">
        <v>22</v>
      </c>
      <c r="CO18" s="167">
        <v>0</v>
      </c>
      <c r="CP18" s="167">
        <v>0</v>
      </c>
      <c r="CQ18" s="167">
        <v>0</v>
      </c>
      <c r="CR18" s="167">
        <v>0</v>
      </c>
      <c r="CS18" s="167">
        <v>0</v>
      </c>
      <c r="CT18" s="167">
        <v>0</v>
      </c>
      <c r="CU18" s="167">
        <v>0</v>
      </c>
      <c r="CV18" s="167">
        <v>4</v>
      </c>
      <c r="CW18" s="167">
        <v>4</v>
      </c>
      <c r="CX18" s="167">
        <v>4</v>
      </c>
    </row>
    <row r="19" ht="18" spans="1:102">
      <c r="A19" s="165" t="s">
        <v>95</v>
      </c>
      <c r="B19" s="166">
        <v>2</v>
      </c>
      <c r="C19" s="166">
        <v>0</v>
      </c>
      <c r="D19" s="166">
        <v>2</v>
      </c>
      <c r="E19" s="166">
        <v>0</v>
      </c>
      <c r="F19" s="166">
        <v>0</v>
      </c>
      <c r="G19" s="166">
        <v>0</v>
      </c>
      <c r="H19" s="166">
        <v>0</v>
      </c>
      <c r="I19" s="166">
        <v>0</v>
      </c>
      <c r="J19" s="166">
        <v>0</v>
      </c>
      <c r="K19" s="166">
        <v>0</v>
      </c>
      <c r="L19" s="166">
        <v>0</v>
      </c>
      <c r="M19" s="166">
        <v>0</v>
      </c>
      <c r="N19" s="166">
        <v>0</v>
      </c>
      <c r="O19" s="166">
        <v>0</v>
      </c>
      <c r="P19" s="166">
        <v>0</v>
      </c>
      <c r="Q19" s="166">
        <v>0</v>
      </c>
      <c r="R19" s="166"/>
      <c r="S19" s="166">
        <v>0</v>
      </c>
      <c r="T19" s="166">
        <v>0</v>
      </c>
      <c r="U19" s="166">
        <v>0</v>
      </c>
      <c r="V19" s="166">
        <v>0</v>
      </c>
      <c r="W19" s="166">
        <v>0</v>
      </c>
      <c r="X19" s="166">
        <v>2809</v>
      </c>
      <c r="Y19" s="166">
        <v>802</v>
      </c>
      <c r="Z19" s="166">
        <v>220</v>
      </c>
      <c r="AA19" s="166">
        <v>44</v>
      </c>
      <c r="AB19" s="166">
        <v>0</v>
      </c>
      <c r="AC19" s="166">
        <v>0</v>
      </c>
      <c r="AD19" s="166">
        <v>87</v>
      </c>
      <c r="AE19" s="166">
        <v>30</v>
      </c>
      <c r="AF19" s="166">
        <v>10</v>
      </c>
      <c r="AG19" s="166">
        <v>0</v>
      </c>
      <c r="AH19" s="166">
        <v>0</v>
      </c>
      <c r="AI19" s="166">
        <v>0</v>
      </c>
      <c r="AJ19" s="166">
        <v>0</v>
      </c>
      <c r="AK19" s="166">
        <v>0</v>
      </c>
      <c r="AL19" s="166">
        <v>0</v>
      </c>
      <c r="AM19" s="166">
        <v>0</v>
      </c>
      <c r="AN19" s="166">
        <v>0</v>
      </c>
      <c r="AO19" s="166">
        <v>0</v>
      </c>
      <c r="AP19" s="166">
        <v>0</v>
      </c>
      <c r="AQ19" s="166">
        <v>0</v>
      </c>
      <c r="AR19" s="166">
        <v>0</v>
      </c>
      <c r="AS19" s="166">
        <v>0</v>
      </c>
      <c r="AT19" s="166">
        <v>3</v>
      </c>
      <c r="AU19" s="166">
        <v>0</v>
      </c>
      <c r="AV19" s="166">
        <v>9</v>
      </c>
      <c r="AW19" s="166">
        <v>0</v>
      </c>
      <c r="AX19" s="166">
        <v>6</v>
      </c>
      <c r="AY19" s="166">
        <v>0</v>
      </c>
      <c r="AZ19" s="166">
        <v>0</v>
      </c>
      <c r="BA19" s="166">
        <v>0</v>
      </c>
      <c r="BB19" s="166">
        <v>49</v>
      </c>
      <c r="BC19" s="166">
        <v>49</v>
      </c>
      <c r="BD19" s="166">
        <v>49</v>
      </c>
      <c r="BE19" s="166">
        <v>204</v>
      </c>
      <c r="BF19" s="166">
        <v>204</v>
      </c>
      <c r="BG19" s="166">
        <v>204</v>
      </c>
      <c r="BH19" s="166">
        <v>57</v>
      </c>
      <c r="BI19" s="166">
        <v>0</v>
      </c>
      <c r="BJ19" s="167">
        <v>2</v>
      </c>
      <c r="BK19" s="167">
        <v>2</v>
      </c>
      <c r="BL19" s="167">
        <v>2</v>
      </c>
      <c r="BM19" s="167">
        <v>0</v>
      </c>
      <c r="BN19" s="167">
        <v>0</v>
      </c>
      <c r="BO19" s="167">
        <v>0</v>
      </c>
      <c r="BP19" s="167">
        <v>0</v>
      </c>
      <c r="BQ19" s="167">
        <v>0</v>
      </c>
      <c r="BR19" s="167">
        <v>0</v>
      </c>
      <c r="BS19" s="167">
        <v>0</v>
      </c>
      <c r="BT19" s="167">
        <v>0</v>
      </c>
      <c r="BU19" s="167">
        <v>0</v>
      </c>
      <c r="BV19" s="167">
        <v>0</v>
      </c>
      <c r="BW19" s="167">
        <v>0</v>
      </c>
      <c r="BX19" s="167">
        <v>0</v>
      </c>
      <c r="BY19" s="167">
        <v>0</v>
      </c>
      <c r="BZ19" s="167">
        <v>0</v>
      </c>
      <c r="CA19" s="167">
        <v>0</v>
      </c>
      <c r="CB19" s="167">
        <v>0</v>
      </c>
      <c r="CC19" s="167">
        <v>0</v>
      </c>
      <c r="CD19" s="167">
        <v>0</v>
      </c>
      <c r="CE19" s="167">
        <v>0</v>
      </c>
      <c r="CF19" s="167">
        <v>0</v>
      </c>
      <c r="CG19" s="167">
        <v>0</v>
      </c>
      <c r="CH19" s="167">
        <v>0</v>
      </c>
      <c r="CI19" s="167">
        <v>0</v>
      </c>
      <c r="CJ19" s="167">
        <v>0</v>
      </c>
      <c r="CK19" s="167">
        <v>87</v>
      </c>
      <c r="CL19" s="167">
        <v>63</v>
      </c>
      <c r="CM19" s="167">
        <v>33</v>
      </c>
      <c r="CN19" s="167">
        <v>30</v>
      </c>
      <c r="CO19" s="167">
        <v>2</v>
      </c>
      <c r="CP19" s="167">
        <v>2</v>
      </c>
      <c r="CQ19" s="167">
        <v>0</v>
      </c>
      <c r="CR19" s="167">
        <v>0</v>
      </c>
      <c r="CS19" s="167">
        <v>0</v>
      </c>
      <c r="CT19" s="167">
        <v>0</v>
      </c>
      <c r="CU19" s="167">
        <v>0</v>
      </c>
      <c r="CV19" s="167">
        <v>4</v>
      </c>
      <c r="CW19" s="167">
        <v>4</v>
      </c>
      <c r="CX19" s="167">
        <v>4</v>
      </c>
    </row>
    <row r="20" ht="18" spans="1:102">
      <c r="A20" s="165" t="s">
        <v>96</v>
      </c>
      <c r="B20" s="166">
        <v>2</v>
      </c>
      <c r="C20" s="166">
        <v>0</v>
      </c>
      <c r="D20" s="166">
        <v>2</v>
      </c>
      <c r="E20" s="166">
        <v>0</v>
      </c>
      <c r="F20" s="166">
        <v>0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  <c r="U20" s="166">
        <v>0</v>
      </c>
      <c r="V20" s="166">
        <v>0</v>
      </c>
      <c r="W20" s="166">
        <v>0</v>
      </c>
      <c r="X20" s="166">
        <v>2593</v>
      </c>
      <c r="Y20" s="166">
        <v>809</v>
      </c>
      <c r="Z20" s="166">
        <v>218</v>
      </c>
      <c r="AA20" s="166">
        <v>45</v>
      </c>
      <c r="AB20" s="166">
        <v>0</v>
      </c>
      <c r="AC20" s="166">
        <v>0</v>
      </c>
      <c r="AD20" s="166">
        <v>60</v>
      </c>
      <c r="AE20" s="166">
        <v>20</v>
      </c>
      <c r="AF20" s="166">
        <v>8</v>
      </c>
      <c r="AG20" s="166">
        <v>0</v>
      </c>
      <c r="AH20" s="166">
        <v>0</v>
      </c>
      <c r="AI20" s="166">
        <v>0</v>
      </c>
      <c r="AJ20" s="166">
        <v>0</v>
      </c>
      <c r="AK20" s="166">
        <v>0</v>
      </c>
      <c r="AL20" s="166">
        <v>0</v>
      </c>
      <c r="AM20" s="166">
        <v>0</v>
      </c>
      <c r="AN20" s="166">
        <v>0</v>
      </c>
      <c r="AO20" s="166">
        <v>0</v>
      </c>
      <c r="AP20" s="166">
        <v>0</v>
      </c>
      <c r="AQ20" s="166">
        <v>0</v>
      </c>
      <c r="AR20" s="166">
        <v>0</v>
      </c>
      <c r="AS20" s="166">
        <v>0</v>
      </c>
      <c r="AT20" s="166">
        <v>0</v>
      </c>
      <c r="AU20" s="166">
        <v>0</v>
      </c>
      <c r="AV20" s="166">
        <v>4</v>
      </c>
      <c r="AW20" s="166">
        <v>0</v>
      </c>
      <c r="AX20" s="166">
        <v>6</v>
      </c>
      <c r="AY20" s="166">
        <v>0</v>
      </c>
      <c r="AZ20" s="166">
        <v>0</v>
      </c>
      <c r="BA20" s="166">
        <v>0</v>
      </c>
      <c r="BB20" s="166">
        <v>49</v>
      </c>
      <c r="BC20" s="166">
        <v>49</v>
      </c>
      <c r="BD20" s="166">
        <v>49</v>
      </c>
      <c r="BE20" s="166">
        <v>217</v>
      </c>
      <c r="BF20" s="166">
        <v>217</v>
      </c>
      <c r="BG20" s="166">
        <v>217</v>
      </c>
      <c r="BH20" s="166">
        <v>35</v>
      </c>
      <c r="BI20" s="166">
        <v>0</v>
      </c>
      <c r="BJ20" s="167">
        <v>2</v>
      </c>
      <c r="BK20" s="167">
        <v>2</v>
      </c>
      <c r="BL20" s="167">
        <v>2</v>
      </c>
      <c r="BM20" s="167">
        <v>0</v>
      </c>
      <c r="BN20" s="167">
        <v>0</v>
      </c>
      <c r="BO20" s="167">
        <v>0</v>
      </c>
      <c r="BP20" s="167">
        <v>0</v>
      </c>
      <c r="BQ20" s="167">
        <v>0</v>
      </c>
      <c r="BR20" s="167">
        <v>0</v>
      </c>
      <c r="BS20" s="167">
        <v>0</v>
      </c>
      <c r="BT20" s="167">
        <v>0</v>
      </c>
      <c r="BU20" s="167">
        <v>0</v>
      </c>
      <c r="BV20" s="167">
        <v>0</v>
      </c>
      <c r="BW20" s="167">
        <v>0</v>
      </c>
      <c r="BX20" s="167">
        <v>0</v>
      </c>
      <c r="BY20" s="167">
        <v>0</v>
      </c>
      <c r="BZ20" s="167">
        <v>0</v>
      </c>
      <c r="CA20" s="167">
        <v>0</v>
      </c>
      <c r="CB20" s="167">
        <v>0</v>
      </c>
      <c r="CC20" s="167">
        <v>0</v>
      </c>
      <c r="CD20" s="167">
        <v>0</v>
      </c>
      <c r="CE20" s="167">
        <v>0</v>
      </c>
      <c r="CF20" s="167">
        <v>0</v>
      </c>
      <c r="CG20" s="167">
        <v>0</v>
      </c>
      <c r="CH20" s="167">
        <v>0</v>
      </c>
      <c r="CI20" s="167">
        <v>0</v>
      </c>
      <c r="CJ20" s="167">
        <v>0</v>
      </c>
      <c r="CK20" s="167">
        <v>59</v>
      </c>
      <c r="CL20" s="167">
        <v>57</v>
      </c>
      <c r="CM20" s="167">
        <v>37</v>
      </c>
      <c r="CN20" s="167">
        <v>20</v>
      </c>
      <c r="CO20" s="167">
        <v>2</v>
      </c>
      <c r="CP20" s="167">
        <v>2</v>
      </c>
      <c r="CQ20" s="167">
        <v>0</v>
      </c>
      <c r="CR20" s="167">
        <v>0</v>
      </c>
      <c r="CS20" s="167">
        <v>0</v>
      </c>
      <c r="CT20" s="167">
        <v>0</v>
      </c>
      <c r="CU20" s="167">
        <v>0</v>
      </c>
      <c r="CV20" s="167">
        <v>4</v>
      </c>
      <c r="CW20" s="167">
        <v>4</v>
      </c>
      <c r="CX20" s="167">
        <v>4</v>
      </c>
    </row>
    <row r="21" ht="18" spans="1:102">
      <c r="A21" s="165" t="s">
        <v>97</v>
      </c>
      <c r="B21" s="166">
        <v>0</v>
      </c>
      <c r="C21" s="166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0</v>
      </c>
      <c r="J21" s="166">
        <v>0</v>
      </c>
      <c r="K21" s="166">
        <v>0</v>
      </c>
      <c r="L21" s="166">
        <v>0</v>
      </c>
      <c r="M21" s="166">
        <v>0</v>
      </c>
      <c r="N21" s="166">
        <v>0</v>
      </c>
      <c r="O21" s="166">
        <v>0</v>
      </c>
      <c r="P21" s="166">
        <v>0</v>
      </c>
      <c r="Q21" s="166">
        <v>0</v>
      </c>
      <c r="R21" s="166">
        <v>0</v>
      </c>
      <c r="S21" s="166">
        <v>0</v>
      </c>
      <c r="T21" s="166">
        <v>0</v>
      </c>
      <c r="U21" s="166">
        <v>0</v>
      </c>
      <c r="V21" s="166">
        <v>0</v>
      </c>
      <c r="W21" s="166">
        <v>0</v>
      </c>
      <c r="X21" s="166">
        <v>2596</v>
      </c>
      <c r="Y21" s="166">
        <v>821</v>
      </c>
      <c r="Z21" s="166">
        <v>192</v>
      </c>
      <c r="AA21" s="166">
        <v>26</v>
      </c>
      <c r="AB21" s="166">
        <v>0</v>
      </c>
      <c r="AC21" s="166">
        <v>0</v>
      </c>
      <c r="AD21" s="166">
        <v>75</v>
      </c>
      <c r="AE21" s="166">
        <v>26</v>
      </c>
      <c r="AF21" s="166">
        <v>9</v>
      </c>
      <c r="AG21" s="166">
        <v>0</v>
      </c>
      <c r="AH21" s="166">
        <v>0</v>
      </c>
      <c r="AI21" s="166">
        <v>0</v>
      </c>
      <c r="AJ21" s="166">
        <v>0</v>
      </c>
      <c r="AK21" s="166">
        <v>0</v>
      </c>
      <c r="AL21" s="166">
        <v>0</v>
      </c>
      <c r="AM21" s="166">
        <v>0</v>
      </c>
      <c r="AN21" s="166">
        <v>0</v>
      </c>
      <c r="AO21" s="166">
        <v>0</v>
      </c>
      <c r="AP21" s="166">
        <v>0</v>
      </c>
      <c r="AQ21" s="166">
        <v>0</v>
      </c>
      <c r="AR21" s="166">
        <v>0</v>
      </c>
      <c r="AS21" s="166">
        <v>0</v>
      </c>
      <c r="AT21" s="166">
        <v>1</v>
      </c>
      <c r="AU21" s="166">
        <v>0</v>
      </c>
      <c r="AV21" s="166">
        <v>7</v>
      </c>
      <c r="AW21" s="166">
        <v>0</v>
      </c>
      <c r="AX21" s="166">
        <v>2</v>
      </c>
      <c r="AY21" s="166">
        <v>0</v>
      </c>
      <c r="AZ21" s="166">
        <v>0</v>
      </c>
      <c r="BA21" s="166">
        <v>0</v>
      </c>
      <c r="BB21" s="166">
        <v>49</v>
      </c>
      <c r="BC21" s="166">
        <v>49</v>
      </c>
      <c r="BD21" s="166">
        <v>49</v>
      </c>
      <c r="BE21" s="166">
        <v>217</v>
      </c>
      <c r="BF21" s="166">
        <v>217</v>
      </c>
      <c r="BG21" s="166">
        <v>217</v>
      </c>
      <c r="BH21" s="166">
        <v>61</v>
      </c>
      <c r="BI21" s="166">
        <v>0</v>
      </c>
      <c r="BJ21" s="167">
        <v>0</v>
      </c>
      <c r="BK21" s="167">
        <v>0</v>
      </c>
      <c r="BL21" s="167">
        <v>0</v>
      </c>
      <c r="BM21" s="167">
        <v>0</v>
      </c>
      <c r="BN21" s="167">
        <v>0</v>
      </c>
      <c r="BO21" s="167">
        <v>0</v>
      </c>
      <c r="BP21" s="167">
        <v>0</v>
      </c>
      <c r="BQ21" s="167">
        <v>0</v>
      </c>
      <c r="BR21" s="167">
        <v>0</v>
      </c>
      <c r="BS21" s="167">
        <v>0</v>
      </c>
      <c r="BT21" s="167">
        <v>0</v>
      </c>
      <c r="BU21" s="167">
        <v>0</v>
      </c>
      <c r="BV21" s="167">
        <v>0</v>
      </c>
      <c r="BW21" s="167">
        <v>0</v>
      </c>
      <c r="BX21" s="167">
        <v>0</v>
      </c>
      <c r="BY21" s="167">
        <v>0</v>
      </c>
      <c r="BZ21" s="167">
        <v>0</v>
      </c>
      <c r="CA21" s="167">
        <v>0</v>
      </c>
      <c r="CB21" s="167">
        <v>0</v>
      </c>
      <c r="CC21" s="167">
        <v>0</v>
      </c>
      <c r="CD21" s="167">
        <v>0</v>
      </c>
      <c r="CE21" s="167">
        <v>0</v>
      </c>
      <c r="CF21" s="167">
        <v>0</v>
      </c>
      <c r="CG21" s="167">
        <v>0</v>
      </c>
      <c r="CH21" s="167">
        <v>0</v>
      </c>
      <c r="CI21" s="167">
        <v>0</v>
      </c>
      <c r="CJ21" s="167">
        <v>0</v>
      </c>
      <c r="CK21" s="167">
        <v>75</v>
      </c>
      <c r="CL21" s="167">
        <v>52</v>
      </c>
      <c r="CM21" s="167">
        <v>26</v>
      </c>
      <c r="CN21" s="167">
        <v>26</v>
      </c>
      <c r="CO21" s="167">
        <v>0</v>
      </c>
      <c r="CP21" s="167">
        <v>0</v>
      </c>
      <c r="CQ21" s="167">
        <v>0</v>
      </c>
      <c r="CR21" s="167">
        <v>0</v>
      </c>
      <c r="CS21" s="167">
        <v>0</v>
      </c>
      <c r="CT21" s="167">
        <v>0</v>
      </c>
      <c r="CU21" s="167">
        <v>0</v>
      </c>
      <c r="CV21" s="167">
        <v>4</v>
      </c>
      <c r="CW21" s="167">
        <v>4</v>
      </c>
      <c r="CX21" s="167">
        <v>4</v>
      </c>
    </row>
    <row r="22" ht="18" spans="1:102">
      <c r="A22" s="165" t="s">
        <v>98</v>
      </c>
      <c r="B22" s="166">
        <v>1</v>
      </c>
      <c r="C22" s="166">
        <v>0</v>
      </c>
      <c r="D22" s="166">
        <v>0</v>
      </c>
      <c r="E22" s="166">
        <v>0</v>
      </c>
      <c r="F22" s="166">
        <v>0</v>
      </c>
      <c r="G22" s="166">
        <v>0</v>
      </c>
      <c r="H22" s="166">
        <v>0</v>
      </c>
      <c r="I22" s="166">
        <v>0</v>
      </c>
      <c r="J22" s="166">
        <v>0</v>
      </c>
      <c r="K22" s="166">
        <v>0</v>
      </c>
      <c r="L22" s="166">
        <v>0</v>
      </c>
      <c r="M22" s="166">
        <v>0</v>
      </c>
      <c r="N22" s="166">
        <v>0</v>
      </c>
      <c r="O22" s="166">
        <v>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2415</v>
      </c>
      <c r="Y22" s="166">
        <v>727</v>
      </c>
      <c r="Z22" s="166">
        <v>200</v>
      </c>
      <c r="AA22" s="166">
        <v>38</v>
      </c>
      <c r="AB22" s="166">
        <v>0</v>
      </c>
      <c r="AC22" s="166">
        <v>0</v>
      </c>
      <c r="AD22" s="166">
        <v>97</v>
      </c>
      <c r="AE22" s="166">
        <v>39</v>
      </c>
      <c r="AF22" s="166">
        <v>9</v>
      </c>
      <c r="AG22" s="166">
        <v>0</v>
      </c>
      <c r="AH22" s="166">
        <v>0</v>
      </c>
      <c r="AI22" s="166">
        <v>0</v>
      </c>
      <c r="AJ22" s="166">
        <v>0</v>
      </c>
      <c r="AK22" s="166">
        <v>0</v>
      </c>
      <c r="AL22" s="166">
        <v>0</v>
      </c>
      <c r="AM22" s="166">
        <v>0</v>
      </c>
      <c r="AN22" s="166">
        <v>0</v>
      </c>
      <c r="AO22" s="166">
        <v>0</v>
      </c>
      <c r="AP22" s="166">
        <v>0</v>
      </c>
      <c r="AQ22" s="166">
        <v>0</v>
      </c>
      <c r="AR22" s="166">
        <v>0</v>
      </c>
      <c r="AS22" s="166">
        <v>0</v>
      </c>
      <c r="AT22" s="166">
        <v>0</v>
      </c>
      <c r="AU22" s="166">
        <v>0</v>
      </c>
      <c r="AV22" s="166">
        <v>7</v>
      </c>
      <c r="AW22" s="166">
        <v>0</v>
      </c>
      <c r="AX22" s="166">
        <v>4</v>
      </c>
      <c r="AY22" s="166">
        <v>0</v>
      </c>
      <c r="AZ22" s="166">
        <v>0</v>
      </c>
      <c r="BA22" s="166">
        <v>0</v>
      </c>
      <c r="BB22" s="166">
        <v>49</v>
      </c>
      <c r="BC22" s="166">
        <v>49</v>
      </c>
      <c r="BD22" s="166">
        <v>49</v>
      </c>
      <c r="BE22" s="166">
        <v>217</v>
      </c>
      <c r="BF22" s="166">
        <v>217</v>
      </c>
      <c r="BG22" s="166">
        <v>217</v>
      </c>
      <c r="BH22" s="166">
        <v>235</v>
      </c>
      <c r="BI22" s="166">
        <v>0</v>
      </c>
      <c r="BJ22" s="167">
        <v>1</v>
      </c>
      <c r="BK22" s="167">
        <v>1</v>
      </c>
      <c r="BL22" s="167">
        <v>1</v>
      </c>
      <c r="BM22" s="167">
        <v>0</v>
      </c>
      <c r="BN22" s="167">
        <v>0</v>
      </c>
      <c r="BO22" s="167">
        <v>0</v>
      </c>
      <c r="BP22" s="167">
        <v>0</v>
      </c>
      <c r="BQ22" s="167">
        <v>0</v>
      </c>
      <c r="BR22" s="167">
        <v>0</v>
      </c>
      <c r="BS22" s="167">
        <v>0</v>
      </c>
      <c r="BT22" s="167">
        <v>0</v>
      </c>
      <c r="BU22" s="167">
        <v>0</v>
      </c>
      <c r="BV22" s="167">
        <v>0</v>
      </c>
      <c r="BW22" s="167">
        <v>0</v>
      </c>
      <c r="BX22" s="167">
        <v>0</v>
      </c>
      <c r="BY22" s="167">
        <v>0</v>
      </c>
      <c r="BZ22" s="167">
        <v>0</v>
      </c>
      <c r="CA22" s="167">
        <v>0</v>
      </c>
      <c r="CB22" s="167">
        <v>0</v>
      </c>
      <c r="CC22" s="167">
        <v>0</v>
      </c>
      <c r="CD22" s="167">
        <v>0</v>
      </c>
      <c r="CE22" s="167">
        <v>0</v>
      </c>
      <c r="CF22" s="167">
        <v>0</v>
      </c>
      <c r="CG22" s="167">
        <v>0</v>
      </c>
      <c r="CH22" s="167">
        <v>0</v>
      </c>
      <c r="CI22" s="167">
        <v>0</v>
      </c>
      <c r="CJ22" s="167">
        <v>0</v>
      </c>
      <c r="CK22" s="167">
        <v>97</v>
      </c>
      <c r="CL22" s="167">
        <v>97</v>
      </c>
      <c r="CM22" s="167">
        <v>58</v>
      </c>
      <c r="CN22" s="167">
        <v>39</v>
      </c>
      <c r="CO22" s="167">
        <v>0</v>
      </c>
      <c r="CP22" s="167">
        <v>0</v>
      </c>
      <c r="CQ22" s="167">
        <v>0</v>
      </c>
      <c r="CR22" s="167">
        <v>0</v>
      </c>
      <c r="CS22" s="167">
        <v>0</v>
      </c>
      <c r="CT22" s="167">
        <v>0</v>
      </c>
      <c r="CU22" s="167">
        <v>0</v>
      </c>
      <c r="CV22" s="167">
        <v>4</v>
      </c>
      <c r="CW22" s="167">
        <v>4</v>
      </c>
      <c r="CX22" s="167">
        <v>4</v>
      </c>
    </row>
    <row r="23" ht="18" spans="1:102">
      <c r="A23" s="165" t="s">
        <v>99</v>
      </c>
      <c r="B23" s="166">
        <v>3</v>
      </c>
      <c r="C23" s="166">
        <v>0</v>
      </c>
      <c r="D23" s="166">
        <v>0</v>
      </c>
      <c r="E23" s="166">
        <v>0</v>
      </c>
      <c r="F23" s="166">
        <v>0</v>
      </c>
      <c r="G23" s="166">
        <v>0</v>
      </c>
      <c r="H23" s="166">
        <v>0</v>
      </c>
      <c r="I23" s="166">
        <v>0</v>
      </c>
      <c r="J23" s="166">
        <v>0</v>
      </c>
      <c r="K23" s="166">
        <v>0</v>
      </c>
      <c r="L23" s="166">
        <v>0</v>
      </c>
      <c r="M23" s="166">
        <v>0</v>
      </c>
      <c r="N23" s="166">
        <v>0</v>
      </c>
      <c r="O23" s="166">
        <v>0</v>
      </c>
      <c r="P23" s="166">
        <v>0</v>
      </c>
      <c r="Q23" s="166">
        <v>0</v>
      </c>
      <c r="R23" s="166">
        <v>0</v>
      </c>
      <c r="S23" s="166">
        <v>0</v>
      </c>
      <c r="T23" s="166">
        <v>0</v>
      </c>
      <c r="U23" s="166">
        <v>0</v>
      </c>
      <c r="V23" s="166">
        <v>0</v>
      </c>
      <c r="W23" s="166">
        <v>0</v>
      </c>
      <c r="X23" s="166">
        <v>2926</v>
      </c>
      <c r="Y23" s="166">
        <v>902</v>
      </c>
      <c r="Z23" s="166">
        <v>241</v>
      </c>
      <c r="AA23" s="166">
        <v>46</v>
      </c>
      <c r="AB23" s="166">
        <v>0</v>
      </c>
      <c r="AC23" s="166">
        <v>0</v>
      </c>
      <c r="AD23" s="166">
        <v>64</v>
      </c>
      <c r="AE23" s="166">
        <v>27</v>
      </c>
      <c r="AF23" s="166">
        <v>8</v>
      </c>
      <c r="AG23" s="166">
        <v>1</v>
      </c>
      <c r="AH23" s="166">
        <v>0</v>
      </c>
      <c r="AI23" s="166">
        <v>0</v>
      </c>
      <c r="AJ23" s="166">
        <v>0</v>
      </c>
      <c r="AK23" s="166">
        <v>0</v>
      </c>
      <c r="AL23" s="166">
        <v>0</v>
      </c>
      <c r="AM23" s="166">
        <v>0</v>
      </c>
      <c r="AN23" s="166">
        <v>0</v>
      </c>
      <c r="AO23" s="166">
        <v>0</v>
      </c>
      <c r="AP23" s="166">
        <v>0</v>
      </c>
      <c r="AQ23" s="166">
        <v>0</v>
      </c>
      <c r="AR23" s="166">
        <v>0</v>
      </c>
      <c r="AS23" s="166">
        <v>0</v>
      </c>
      <c r="AT23" s="166">
        <v>2</v>
      </c>
      <c r="AU23" s="166">
        <v>0</v>
      </c>
      <c r="AV23" s="166">
        <v>11</v>
      </c>
      <c r="AW23" s="166">
        <v>0</v>
      </c>
      <c r="AX23" s="166">
        <v>5</v>
      </c>
      <c r="AY23" s="166">
        <v>0</v>
      </c>
      <c r="AZ23" s="166">
        <v>0</v>
      </c>
      <c r="BA23" s="166">
        <v>0</v>
      </c>
      <c r="BB23" s="166">
        <v>49</v>
      </c>
      <c r="BC23" s="166">
        <v>49</v>
      </c>
      <c r="BD23" s="166">
        <v>49</v>
      </c>
      <c r="BE23" s="166">
        <v>218</v>
      </c>
      <c r="BF23" s="166">
        <v>218</v>
      </c>
      <c r="BG23" s="166">
        <v>218</v>
      </c>
      <c r="BH23" s="166">
        <v>31</v>
      </c>
      <c r="BI23" s="166">
        <v>0</v>
      </c>
      <c r="BJ23" s="167">
        <v>3</v>
      </c>
      <c r="BK23" s="167">
        <v>3</v>
      </c>
      <c r="BL23" s="167">
        <v>3</v>
      </c>
      <c r="BM23" s="167">
        <v>0</v>
      </c>
      <c r="BN23" s="167">
        <v>0</v>
      </c>
      <c r="BO23" s="167">
        <v>0</v>
      </c>
      <c r="BP23" s="167">
        <v>0</v>
      </c>
      <c r="BQ23" s="167">
        <v>0</v>
      </c>
      <c r="BR23" s="167">
        <v>0</v>
      </c>
      <c r="BS23" s="167">
        <v>0</v>
      </c>
      <c r="BT23" s="167">
        <v>0</v>
      </c>
      <c r="BU23" s="167">
        <v>0</v>
      </c>
      <c r="BV23" s="167">
        <v>0</v>
      </c>
      <c r="BW23" s="167">
        <v>0</v>
      </c>
      <c r="BX23" s="167">
        <v>0</v>
      </c>
      <c r="BY23" s="167">
        <v>0</v>
      </c>
      <c r="BZ23" s="167">
        <v>0</v>
      </c>
      <c r="CA23" s="167">
        <v>0</v>
      </c>
      <c r="CB23" s="167">
        <v>0</v>
      </c>
      <c r="CC23" s="167">
        <v>0</v>
      </c>
      <c r="CD23" s="167">
        <v>0</v>
      </c>
      <c r="CE23" s="167">
        <v>0</v>
      </c>
      <c r="CF23" s="167">
        <v>0</v>
      </c>
      <c r="CG23" s="167">
        <v>0</v>
      </c>
      <c r="CH23" s="167">
        <v>0</v>
      </c>
      <c r="CI23" s="167">
        <v>0</v>
      </c>
      <c r="CJ23" s="167">
        <v>0</v>
      </c>
      <c r="CK23" s="167">
        <v>64</v>
      </c>
      <c r="CL23" s="167">
        <v>57</v>
      </c>
      <c r="CM23" s="167">
        <v>30</v>
      </c>
      <c r="CN23" s="167">
        <v>27</v>
      </c>
      <c r="CO23" s="167">
        <v>0</v>
      </c>
      <c r="CP23" s="167">
        <v>0</v>
      </c>
      <c r="CQ23" s="167">
        <v>0</v>
      </c>
      <c r="CR23" s="167">
        <v>0</v>
      </c>
      <c r="CS23" s="167">
        <v>0</v>
      </c>
      <c r="CT23" s="167">
        <v>0</v>
      </c>
      <c r="CU23" s="167">
        <v>0</v>
      </c>
      <c r="CV23" s="167">
        <v>4</v>
      </c>
      <c r="CW23" s="167">
        <v>4</v>
      </c>
      <c r="CX23" s="167">
        <v>4</v>
      </c>
    </row>
    <row r="24" ht="18" spans="1:102">
      <c r="A24" s="165" t="s">
        <v>100</v>
      </c>
      <c r="B24" s="166">
        <v>1</v>
      </c>
      <c r="C24" s="166">
        <v>0</v>
      </c>
      <c r="D24" s="166">
        <v>0</v>
      </c>
      <c r="E24" s="166">
        <v>0</v>
      </c>
      <c r="F24" s="166">
        <v>0</v>
      </c>
      <c r="G24" s="166">
        <v>0</v>
      </c>
      <c r="H24" s="166">
        <v>0</v>
      </c>
      <c r="I24" s="166">
        <v>0</v>
      </c>
      <c r="J24" s="166">
        <v>0</v>
      </c>
      <c r="K24" s="166">
        <v>0</v>
      </c>
      <c r="L24" s="166">
        <v>0</v>
      </c>
      <c r="M24" s="166">
        <v>0</v>
      </c>
      <c r="N24" s="166">
        <v>0</v>
      </c>
      <c r="O24" s="166">
        <v>0</v>
      </c>
      <c r="P24" s="166">
        <v>0</v>
      </c>
      <c r="Q24" s="166">
        <v>0</v>
      </c>
      <c r="R24" s="166">
        <v>0</v>
      </c>
      <c r="S24" s="166">
        <v>0</v>
      </c>
      <c r="T24" s="166">
        <v>0</v>
      </c>
      <c r="U24" s="166">
        <v>0</v>
      </c>
      <c r="V24" s="166">
        <v>0</v>
      </c>
      <c r="W24" s="166">
        <v>0</v>
      </c>
      <c r="X24" s="166">
        <v>2480</v>
      </c>
      <c r="Y24" s="166">
        <v>678</v>
      </c>
      <c r="Z24" s="166">
        <v>194</v>
      </c>
      <c r="AA24" s="166">
        <v>27</v>
      </c>
      <c r="AB24" s="166">
        <v>1</v>
      </c>
      <c r="AC24" s="166">
        <v>0</v>
      </c>
      <c r="AD24" s="166">
        <v>87</v>
      </c>
      <c r="AE24" s="166">
        <v>38</v>
      </c>
      <c r="AF24" s="166">
        <v>9</v>
      </c>
      <c r="AG24" s="166">
        <v>0</v>
      </c>
      <c r="AH24" s="166">
        <v>0</v>
      </c>
      <c r="AI24" s="166">
        <v>0</v>
      </c>
      <c r="AJ24" s="166">
        <v>0</v>
      </c>
      <c r="AK24" s="166">
        <v>0</v>
      </c>
      <c r="AL24" s="166">
        <v>0</v>
      </c>
      <c r="AM24" s="166">
        <v>0</v>
      </c>
      <c r="AN24" s="166">
        <v>0</v>
      </c>
      <c r="AO24" s="166">
        <v>0</v>
      </c>
      <c r="AP24" s="166">
        <v>0</v>
      </c>
      <c r="AQ24" s="166">
        <v>0</v>
      </c>
      <c r="AR24" s="166">
        <v>0</v>
      </c>
      <c r="AS24" s="166">
        <v>0</v>
      </c>
      <c r="AT24" s="166">
        <v>2</v>
      </c>
      <c r="AU24" s="166">
        <v>0</v>
      </c>
      <c r="AV24" s="166">
        <v>9</v>
      </c>
      <c r="AW24" s="166">
        <v>0</v>
      </c>
      <c r="AX24" s="166">
        <v>5</v>
      </c>
      <c r="AY24" s="166">
        <v>0</v>
      </c>
      <c r="AZ24" s="166">
        <v>0</v>
      </c>
      <c r="BA24" s="166">
        <v>0</v>
      </c>
      <c r="BB24" s="166">
        <v>49</v>
      </c>
      <c r="BC24" s="166">
        <v>49</v>
      </c>
      <c r="BD24" s="166">
        <v>49</v>
      </c>
      <c r="BE24" s="166">
        <v>221</v>
      </c>
      <c r="BF24" s="166">
        <v>221</v>
      </c>
      <c r="BG24" s="166">
        <v>221</v>
      </c>
      <c r="BH24" s="166">
        <v>58</v>
      </c>
      <c r="BI24" s="166">
        <v>0</v>
      </c>
      <c r="BJ24" s="167">
        <v>1</v>
      </c>
      <c r="BK24" s="167">
        <v>1</v>
      </c>
      <c r="BL24" s="167">
        <v>1</v>
      </c>
      <c r="BM24" s="167">
        <v>0</v>
      </c>
      <c r="BN24" s="167">
        <v>0</v>
      </c>
      <c r="BO24" s="167">
        <v>0</v>
      </c>
      <c r="BP24" s="167">
        <v>0</v>
      </c>
      <c r="BQ24" s="167">
        <v>0</v>
      </c>
      <c r="BR24" s="167">
        <v>0</v>
      </c>
      <c r="BS24" s="167">
        <v>0</v>
      </c>
      <c r="BT24" s="167">
        <v>0</v>
      </c>
      <c r="BU24" s="167">
        <v>0</v>
      </c>
      <c r="BV24" s="167">
        <v>0</v>
      </c>
      <c r="BW24" s="167">
        <v>0</v>
      </c>
      <c r="BX24" s="167">
        <v>0</v>
      </c>
      <c r="BY24" s="167">
        <v>0</v>
      </c>
      <c r="BZ24" s="167">
        <v>0</v>
      </c>
      <c r="CA24" s="167">
        <v>0</v>
      </c>
      <c r="CB24" s="167">
        <v>0</v>
      </c>
      <c r="CC24" s="167">
        <v>0</v>
      </c>
      <c r="CD24" s="167">
        <v>0</v>
      </c>
      <c r="CE24" s="167">
        <v>0</v>
      </c>
      <c r="CF24" s="167">
        <v>0</v>
      </c>
      <c r="CG24" s="167">
        <v>0</v>
      </c>
      <c r="CH24" s="167">
        <v>0</v>
      </c>
      <c r="CI24" s="167">
        <v>0</v>
      </c>
      <c r="CJ24" s="167">
        <v>0</v>
      </c>
      <c r="CK24" s="167">
        <v>87</v>
      </c>
      <c r="CL24" s="167">
        <v>75</v>
      </c>
      <c r="CM24" s="167">
        <v>37</v>
      </c>
      <c r="CN24" s="167">
        <v>38</v>
      </c>
      <c r="CO24" s="167">
        <v>0</v>
      </c>
      <c r="CP24" s="167">
        <v>0</v>
      </c>
      <c r="CQ24" s="167">
        <v>0</v>
      </c>
      <c r="CR24" s="167">
        <v>0</v>
      </c>
      <c r="CS24" s="167">
        <v>0</v>
      </c>
      <c r="CT24" s="167">
        <v>0</v>
      </c>
      <c r="CU24" s="167">
        <v>0</v>
      </c>
      <c r="CV24" s="167">
        <v>4</v>
      </c>
      <c r="CW24" s="167">
        <v>4</v>
      </c>
      <c r="CX24" s="167">
        <v>4</v>
      </c>
    </row>
    <row r="25" ht="18" spans="1:102">
      <c r="A25" s="165" t="s">
        <v>101</v>
      </c>
      <c r="B25" s="166">
        <v>0</v>
      </c>
      <c r="C25" s="166">
        <v>0</v>
      </c>
      <c r="D25" s="166">
        <v>1</v>
      </c>
      <c r="E25" s="166">
        <v>0</v>
      </c>
      <c r="F25" s="166">
        <v>0</v>
      </c>
      <c r="G25" s="166">
        <v>0</v>
      </c>
      <c r="H25" s="166">
        <v>0</v>
      </c>
      <c r="I25" s="166">
        <v>0</v>
      </c>
      <c r="J25" s="166">
        <v>0</v>
      </c>
      <c r="K25" s="166">
        <v>0</v>
      </c>
      <c r="L25" s="166">
        <v>0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  <c r="U25" s="166">
        <v>0</v>
      </c>
      <c r="V25" s="166">
        <v>0</v>
      </c>
      <c r="W25" s="166">
        <v>0</v>
      </c>
      <c r="X25" s="166">
        <v>2609</v>
      </c>
      <c r="Y25" s="166">
        <v>861</v>
      </c>
      <c r="Z25" s="166">
        <v>205</v>
      </c>
      <c r="AA25" s="166">
        <v>42</v>
      </c>
      <c r="AB25" s="166">
        <v>0</v>
      </c>
      <c r="AC25" s="166">
        <v>0</v>
      </c>
      <c r="AD25" s="166">
        <v>75</v>
      </c>
      <c r="AE25" s="166">
        <v>28</v>
      </c>
      <c r="AF25" s="166">
        <v>12</v>
      </c>
      <c r="AG25" s="166">
        <v>0</v>
      </c>
      <c r="AH25" s="166">
        <v>0</v>
      </c>
      <c r="AI25" s="166">
        <v>0</v>
      </c>
      <c r="AJ25" s="166">
        <v>0</v>
      </c>
      <c r="AK25" s="166">
        <v>0</v>
      </c>
      <c r="AL25" s="166">
        <v>0</v>
      </c>
      <c r="AM25" s="166">
        <v>0</v>
      </c>
      <c r="AN25" s="166">
        <v>0</v>
      </c>
      <c r="AO25" s="166">
        <v>0</v>
      </c>
      <c r="AP25" s="166">
        <v>0</v>
      </c>
      <c r="AQ25" s="166">
        <v>0</v>
      </c>
      <c r="AR25" s="166">
        <v>0</v>
      </c>
      <c r="AS25" s="166">
        <v>0</v>
      </c>
      <c r="AT25" s="166">
        <v>0</v>
      </c>
      <c r="AU25" s="166">
        <v>0</v>
      </c>
      <c r="AV25" s="166">
        <v>9</v>
      </c>
      <c r="AW25" s="166">
        <v>0</v>
      </c>
      <c r="AX25" s="166">
        <v>4</v>
      </c>
      <c r="AY25" s="166">
        <v>0</v>
      </c>
      <c r="AZ25" s="166">
        <v>0</v>
      </c>
      <c r="BA25" s="166">
        <v>0</v>
      </c>
      <c r="BB25" s="166">
        <v>49</v>
      </c>
      <c r="BC25" s="166">
        <v>49</v>
      </c>
      <c r="BD25" s="166">
        <v>49</v>
      </c>
      <c r="BE25" s="166">
        <v>221</v>
      </c>
      <c r="BF25" s="166">
        <v>221</v>
      </c>
      <c r="BG25" s="166">
        <v>221</v>
      </c>
      <c r="BH25" s="166">
        <v>28</v>
      </c>
      <c r="BI25" s="166">
        <v>0</v>
      </c>
      <c r="BJ25" s="167">
        <v>0</v>
      </c>
      <c r="BK25" s="167">
        <v>0</v>
      </c>
      <c r="BL25" s="167">
        <v>0</v>
      </c>
      <c r="BM25" s="167">
        <v>0</v>
      </c>
      <c r="BN25" s="167">
        <v>0</v>
      </c>
      <c r="BO25" s="167">
        <v>0</v>
      </c>
      <c r="BP25" s="167">
        <v>0</v>
      </c>
      <c r="BQ25" s="167">
        <v>0</v>
      </c>
      <c r="BR25" s="167">
        <v>0</v>
      </c>
      <c r="BS25" s="167">
        <v>0</v>
      </c>
      <c r="BT25" s="167">
        <v>0</v>
      </c>
      <c r="BU25" s="167">
        <v>0</v>
      </c>
      <c r="BV25" s="167">
        <v>0</v>
      </c>
      <c r="BW25" s="167">
        <v>0</v>
      </c>
      <c r="BX25" s="167">
        <v>0</v>
      </c>
      <c r="BY25" s="167">
        <v>0</v>
      </c>
      <c r="BZ25" s="167">
        <v>0</v>
      </c>
      <c r="CA25" s="167">
        <v>0</v>
      </c>
      <c r="CB25" s="167">
        <v>0</v>
      </c>
      <c r="CC25" s="167">
        <v>0</v>
      </c>
      <c r="CD25" s="167">
        <v>0</v>
      </c>
      <c r="CE25" s="167">
        <v>0</v>
      </c>
      <c r="CF25" s="167">
        <v>0</v>
      </c>
      <c r="CG25" s="167">
        <v>0</v>
      </c>
      <c r="CH25" s="167">
        <v>0</v>
      </c>
      <c r="CI25" s="167">
        <v>0</v>
      </c>
      <c r="CJ25" s="167">
        <v>0</v>
      </c>
      <c r="CK25" s="167">
        <v>73</v>
      </c>
      <c r="CL25" s="167">
        <v>54</v>
      </c>
      <c r="CM25" s="167">
        <v>27</v>
      </c>
      <c r="CN25" s="167">
        <v>27</v>
      </c>
      <c r="CO25" s="167">
        <v>1</v>
      </c>
      <c r="CP25" s="167">
        <v>1</v>
      </c>
      <c r="CQ25" s="167">
        <v>0</v>
      </c>
      <c r="CR25" s="167">
        <v>0</v>
      </c>
      <c r="CS25" s="167">
        <v>0</v>
      </c>
      <c r="CT25" s="167">
        <v>0</v>
      </c>
      <c r="CU25" s="167">
        <v>0</v>
      </c>
      <c r="CV25" s="167">
        <v>4</v>
      </c>
      <c r="CW25" s="167">
        <v>4</v>
      </c>
      <c r="CX25" s="167">
        <v>4</v>
      </c>
    </row>
    <row r="26" ht="18" spans="1:102">
      <c r="A26" s="165" t="s">
        <v>102</v>
      </c>
      <c r="B26" s="166">
        <v>0</v>
      </c>
      <c r="C26" s="166">
        <v>0</v>
      </c>
      <c r="D26" s="166">
        <v>1</v>
      </c>
      <c r="E26" s="166">
        <v>0</v>
      </c>
      <c r="F26" s="166">
        <v>0</v>
      </c>
      <c r="G26" s="166">
        <v>0</v>
      </c>
      <c r="H26" s="166">
        <v>0</v>
      </c>
      <c r="I26" s="166">
        <v>0</v>
      </c>
      <c r="J26" s="166">
        <v>0</v>
      </c>
      <c r="K26" s="166">
        <v>0</v>
      </c>
      <c r="L26" s="166">
        <v>0</v>
      </c>
      <c r="M26" s="166">
        <v>0</v>
      </c>
      <c r="N26" s="166">
        <v>0</v>
      </c>
      <c r="O26" s="166">
        <v>0</v>
      </c>
      <c r="P26" s="166">
        <v>0</v>
      </c>
      <c r="Q26" s="166">
        <v>0</v>
      </c>
      <c r="R26" s="166">
        <v>0</v>
      </c>
      <c r="S26" s="166">
        <v>0</v>
      </c>
      <c r="T26" s="166">
        <v>0</v>
      </c>
      <c r="U26" s="166">
        <v>0</v>
      </c>
      <c r="V26" s="166">
        <v>0</v>
      </c>
      <c r="W26" s="166">
        <v>0</v>
      </c>
      <c r="X26" s="166">
        <v>2811</v>
      </c>
      <c r="Y26" s="166">
        <v>734</v>
      </c>
      <c r="Z26" s="166">
        <v>210</v>
      </c>
      <c r="AA26" s="166">
        <v>40</v>
      </c>
      <c r="AB26" s="166">
        <v>0</v>
      </c>
      <c r="AC26" s="166">
        <v>0</v>
      </c>
      <c r="AD26" s="166">
        <v>90</v>
      </c>
      <c r="AE26" s="166">
        <v>35</v>
      </c>
      <c r="AF26" s="166">
        <v>7</v>
      </c>
      <c r="AG26" s="166">
        <v>0</v>
      </c>
      <c r="AH26" s="166">
        <v>0</v>
      </c>
      <c r="AI26" s="166">
        <v>0</v>
      </c>
      <c r="AJ26" s="166">
        <v>0</v>
      </c>
      <c r="AK26" s="166">
        <v>0</v>
      </c>
      <c r="AL26" s="166">
        <v>0</v>
      </c>
      <c r="AM26" s="166">
        <v>0</v>
      </c>
      <c r="AN26" s="166">
        <v>0</v>
      </c>
      <c r="AO26" s="166">
        <v>0</v>
      </c>
      <c r="AP26" s="166">
        <v>0</v>
      </c>
      <c r="AQ26" s="166">
        <v>0</v>
      </c>
      <c r="AR26" s="166">
        <v>0</v>
      </c>
      <c r="AS26" s="166">
        <v>0</v>
      </c>
      <c r="AT26" s="166">
        <v>0</v>
      </c>
      <c r="AU26" s="166">
        <v>0</v>
      </c>
      <c r="AV26" s="166">
        <v>5</v>
      </c>
      <c r="AW26" s="166">
        <v>0</v>
      </c>
      <c r="AX26" s="166">
        <v>3</v>
      </c>
      <c r="AY26" s="166">
        <v>0</v>
      </c>
      <c r="AZ26" s="166">
        <v>0</v>
      </c>
      <c r="BA26" s="166">
        <v>0</v>
      </c>
      <c r="BB26" s="166">
        <v>49</v>
      </c>
      <c r="BC26" s="166">
        <v>49</v>
      </c>
      <c r="BD26" s="166">
        <v>49</v>
      </c>
      <c r="BE26" s="166">
        <v>221</v>
      </c>
      <c r="BF26" s="166">
        <v>221</v>
      </c>
      <c r="BG26" s="166">
        <v>221</v>
      </c>
      <c r="BH26" s="166">
        <v>51</v>
      </c>
      <c r="BI26" s="166">
        <v>0</v>
      </c>
      <c r="BJ26" s="167">
        <v>0</v>
      </c>
      <c r="BK26" s="167">
        <v>0</v>
      </c>
      <c r="BL26" s="167">
        <v>0</v>
      </c>
      <c r="BM26" s="167">
        <v>0</v>
      </c>
      <c r="BN26" s="167">
        <v>0</v>
      </c>
      <c r="BO26" s="167">
        <v>0</v>
      </c>
      <c r="BP26" s="167">
        <v>0</v>
      </c>
      <c r="BQ26" s="167">
        <v>0</v>
      </c>
      <c r="BR26" s="167">
        <v>0</v>
      </c>
      <c r="BS26" s="167">
        <v>0</v>
      </c>
      <c r="BT26" s="167">
        <v>0</v>
      </c>
      <c r="BU26" s="167">
        <v>0</v>
      </c>
      <c r="BV26" s="167">
        <v>0</v>
      </c>
      <c r="BW26" s="167">
        <v>0</v>
      </c>
      <c r="BX26" s="167">
        <v>0</v>
      </c>
      <c r="BY26" s="167">
        <v>0</v>
      </c>
      <c r="BZ26" s="167">
        <v>0</v>
      </c>
      <c r="CA26" s="167">
        <v>0</v>
      </c>
      <c r="CB26" s="167">
        <v>0</v>
      </c>
      <c r="CC26" s="167">
        <v>0</v>
      </c>
      <c r="CD26" s="167">
        <v>0</v>
      </c>
      <c r="CE26" s="167">
        <v>0</v>
      </c>
      <c r="CF26" s="167">
        <v>0</v>
      </c>
      <c r="CG26" s="167">
        <v>0</v>
      </c>
      <c r="CH26" s="167">
        <v>0</v>
      </c>
      <c r="CI26" s="167">
        <v>0</v>
      </c>
      <c r="CJ26" s="167">
        <v>0</v>
      </c>
      <c r="CK26" s="167">
        <v>90</v>
      </c>
      <c r="CL26" s="167">
        <v>73</v>
      </c>
      <c r="CM26" s="167">
        <v>38</v>
      </c>
      <c r="CN26" s="167">
        <v>35</v>
      </c>
      <c r="CO26" s="167">
        <v>1</v>
      </c>
      <c r="CP26" s="167">
        <v>1</v>
      </c>
      <c r="CQ26" s="167">
        <v>0</v>
      </c>
      <c r="CR26" s="167">
        <v>0</v>
      </c>
      <c r="CS26" s="167">
        <v>0</v>
      </c>
      <c r="CT26" s="167">
        <v>0</v>
      </c>
      <c r="CU26" s="167">
        <v>0</v>
      </c>
      <c r="CV26" s="167">
        <v>4</v>
      </c>
      <c r="CW26" s="167">
        <v>4</v>
      </c>
      <c r="CX26" s="167">
        <v>4</v>
      </c>
    </row>
    <row r="27" ht="18" spans="1:102">
      <c r="A27" s="165" t="s">
        <v>103</v>
      </c>
      <c r="B27" s="167"/>
      <c r="C27" s="167"/>
      <c r="D27" s="167"/>
      <c r="E27" s="167"/>
      <c r="F27" s="167"/>
      <c r="G27" s="167"/>
      <c r="H27" s="167"/>
      <c r="I27" s="167"/>
      <c r="J27" s="166"/>
      <c r="K27" s="166"/>
      <c r="L27" s="166"/>
      <c r="M27" s="166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6"/>
      <c r="BC27" s="166"/>
      <c r="BD27" s="166"/>
      <c r="BE27" s="166"/>
      <c r="BF27" s="166"/>
      <c r="BG27" s="166"/>
      <c r="BH27" s="166"/>
      <c r="BI27" s="166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</row>
    <row r="28" ht="18" spans="1:102">
      <c r="A28" s="165" t="s">
        <v>104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</row>
    <row r="29" ht="18" spans="1:102">
      <c r="A29" s="165" t="s">
        <v>105</v>
      </c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</row>
    <row r="30" ht="18" spans="1:102">
      <c r="A30" s="165" t="s">
        <v>106</v>
      </c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/>
      <c r="CR30" s="167"/>
      <c r="CS30" s="167"/>
      <c r="CT30" s="167"/>
      <c r="CU30" s="167"/>
      <c r="CV30" s="167"/>
      <c r="CW30" s="167"/>
      <c r="CX30" s="167"/>
    </row>
    <row r="31" ht="18" spans="1:102">
      <c r="A31" s="165" t="s">
        <v>107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</row>
    <row r="32" ht="18" spans="1:102">
      <c r="A32" s="165" t="s">
        <v>108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  <c r="CO32" s="167"/>
      <c r="CP32" s="167"/>
      <c r="CQ32" s="167"/>
      <c r="CR32" s="167"/>
      <c r="CS32" s="167"/>
      <c r="CT32" s="167"/>
      <c r="CU32" s="167"/>
      <c r="CV32" s="167"/>
      <c r="CW32" s="167"/>
      <c r="CX32" s="167"/>
    </row>
    <row r="33" ht="18" spans="1:102">
      <c r="A33" s="165" t="s">
        <v>109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</row>
    <row r="34" ht="18" spans="1:102">
      <c r="A34" s="165" t="s">
        <v>110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  <c r="CO34" s="167"/>
      <c r="CP34" s="167"/>
      <c r="CQ34" s="167"/>
      <c r="CR34" s="167"/>
      <c r="CS34" s="167"/>
      <c r="CT34" s="167"/>
      <c r="CU34" s="167"/>
      <c r="CV34" s="167"/>
      <c r="CW34" s="167"/>
      <c r="CX34" s="167"/>
    </row>
    <row r="35" ht="18" spans="1:102">
      <c r="A35" s="165" t="s">
        <v>111</v>
      </c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  <c r="CO35" s="167"/>
      <c r="CP35" s="167"/>
      <c r="CQ35" s="167"/>
      <c r="CR35" s="167"/>
      <c r="CS35" s="167"/>
      <c r="CT35" s="167"/>
      <c r="CU35" s="167"/>
      <c r="CV35" s="167"/>
      <c r="CW35" s="167"/>
      <c r="CX35" s="167"/>
    </row>
    <row r="36" ht="18" spans="1:102">
      <c r="A36" s="165" t="s">
        <v>112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/>
      <c r="CR36" s="167"/>
      <c r="CS36" s="167"/>
      <c r="CT36" s="167"/>
      <c r="CU36" s="167"/>
      <c r="CV36" s="167"/>
      <c r="CW36" s="167"/>
      <c r="CX36" s="167"/>
    </row>
    <row r="37" ht="18" spans="1:102">
      <c r="A37" s="165" t="s">
        <v>113</v>
      </c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/>
      <c r="CQ37" s="167"/>
      <c r="CR37" s="167"/>
      <c r="CS37" s="167"/>
      <c r="CT37" s="167"/>
      <c r="CU37" s="167"/>
      <c r="CV37" s="167"/>
      <c r="CW37" s="167"/>
      <c r="CX37" s="167"/>
    </row>
    <row r="38" ht="18" spans="1:102">
      <c r="A38" s="165" t="s">
        <v>114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  <c r="CO38" s="167"/>
      <c r="CP38" s="167"/>
      <c r="CQ38" s="167"/>
      <c r="CR38" s="167"/>
      <c r="CS38" s="167"/>
      <c r="CT38" s="167"/>
      <c r="CU38" s="167"/>
      <c r="CV38" s="167"/>
      <c r="CW38" s="167"/>
      <c r="CX38" s="167"/>
    </row>
    <row r="39" ht="18" spans="1:102">
      <c r="A39" s="165" t="s">
        <v>115</v>
      </c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  <c r="CO39" s="167"/>
      <c r="CP39" s="167"/>
      <c r="CQ39" s="167"/>
      <c r="CR39" s="167"/>
      <c r="CS39" s="167"/>
      <c r="CT39" s="167"/>
      <c r="CU39" s="167"/>
      <c r="CV39" s="167"/>
      <c r="CW39" s="167"/>
      <c r="CX39" s="167"/>
    </row>
    <row r="40" ht="18" spans="1:102">
      <c r="A40" s="165" t="s">
        <v>116</v>
      </c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7"/>
      <c r="BK40" s="167"/>
      <c r="BL40" s="167"/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  <c r="CO40" s="167"/>
      <c r="CP40" s="167"/>
      <c r="CQ40" s="167"/>
      <c r="CR40" s="167"/>
      <c r="CS40" s="167"/>
      <c r="CT40" s="167"/>
      <c r="CU40" s="167"/>
      <c r="CV40" s="167"/>
      <c r="CW40" s="167"/>
      <c r="CX40" s="167"/>
    </row>
    <row r="41" ht="18" spans="1:102">
      <c r="A41" s="165" t="s">
        <v>117</v>
      </c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</row>
    <row r="42" ht="18" spans="1:102">
      <c r="A42" s="165" t="s">
        <v>118</v>
      </c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7"/>
      <c r="BK42" s="167"/>
      <c r="BL42" s="167"/>
      <c r="BM42" s="167"/>
      <c r="BN42" s="167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  <c r="CO42" s="167"/>
      <c r="CP42" s="167"/>
      <c r="CQ42" s="167"/>
      <c r="CR42" s="167"/>
      <c r="CS42" s="167"/>
      <c r="CT42" s="167"/>
      <c r="CU42" s="167"/>
      <c r="CV42" s="167"/>
      <c r="CW42" s="167"/>
      <c r="CX42" s="167"/>
    </row>
    <row r="43" ht="18" spans="1:102">
      <c r="A43" s="165" t="s">
        <v>119</v>
      </c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/>
      <c r="CR43" s="167"/>
      <c r="CS43" s="167"/>
      <c r="CT43" s="167"/>
      <c r="CU43" s="167"/>
      <c r="CV43" s="167"/>
      <c r="CW43" s="167"/>
      <c r="CX43" s="167"/>
    </row>
    <row r="44" ht="18" spans="1:102">
      <c r="A44" s="165" t="s">
        <v>120</v>
      </c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/>
      <c r="CR44" s="167"/>
      <c r="CS44" s="167"/>
      <c r="CT44" s="167"/>
      <c r="CU44" s="167"/>
      <c r="CV44" s="167"/>
      <c r="CW44" s="167"/>
      <c r="CX44" s="167"/>
    </row>
    <row r="45" ht="18" spans="1:102">
      <c r="A45" s="165" t="s">
        <v>121</v>
      </c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7"/>
      <c r="CW45" s="167"/>
      <c r="CX45" s="167"/>
    </row>
    <row r="46" ht="18" spans="1:102">
      <c r="A46" s="165" t="s">
        <v>122</v>
      </c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  <c r="CO46" s="167"/>
      <c r="CP46" s="167"/>
      <c r="CQ46" s="167"/>
      <c r="CR46" s="167"/>
      <c r="CS46" s="167"/>
      <c r="CT46" s="167"/>
      <c r="CU46" s="167"/>
      <c r="CV46" s="167"/>
      <c r="CW46" s="167"/>
      <c r="CX46" s="167"/>
    </row>
    <row r="47" ht="18" spans="1:102">
      <c r="A47" s="165" t="s">
        <v>123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/>
      <c r="CR47" s="167"/>
      <c r="CS47" s="167"/>
      <c r="CT47" s="167"/>
      <c r="CU47" s="167"/>
      <c r="CV47" s="167"/>
      <c r="CW47" s="167"/>
      <c r="CX47" s="167"/>
    </row>
    <row r="48" ht="18" spans="1:102">
      <c r="A48" s="165" t="s">
        <v>124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7"/>
      <c r="CH48" s="167"/>
      <c r="CI48" s="167"/>
      <c r="CJ48" s="167"/>
      <c r="CK48" s="167"/>
      <c r="CL48" s="167"/>
      <c r="CM48" s="167"/>
      <c r="CN48" s="167"/>
      <c r="CO48" s="167"/>
      <c r="CP48" s="167"/>
      <c r="CQ48" s="167"/>
      <c r="CR48" s="167"/>
      <c r="CS48" s="167"/>
      <c r="CT48" s="167"/>
      <c r="CU48" s="167"/>
      <c r="CV48" s="167"/>
      <c r="CW48" s="167"/>
      <c r="CX48" s="167"/>
    </row>
    <row r="49" ht="18" spans="1:102">
      <c r="A49" s="165" t="s">
        <v>125</v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167"/>
      <c r="BV49" s="167"/>
      <c r="BW49" s="167"/>
      <c r="BX49" s="167"/>
      <c r="BY49" s="167"/>
      <c r="BZ49" s="167"/>
      <c r="CA49" s="167"/>
      <c r="CB49" s="167"/>
      <c r="CC49" s="167"/>
      <c r="CD49" s="167"/>
      <c r="CE49" s="167"/>
      <c r="CF49" s="167"/>
      <c r="CG49" s="167"/>
      <c r="CH49" s="167"/>
      <c r="CI49" s="167"/>
      <c r="CJ49" s="167"/>
      <c r="CK49" s="167"/>
      <c r="CL49" s="167"/>
      <c r="CM49" s="167"/>
      <c r="CN49" s="167"/>
      <c r="CO49" s="167"/>
      <c r="CP49" s="167"/>
      <c r="CQ49" s="167"/>
      <c r="CR49" s="167"/>
      <c r="CS49" s="167"/>
      <c r="CT49" s="167"/>
      <c r="CU49" s="167"/>
      <c r="CV49" s="167"/>
      <c r="CW49" s="167"/>
      <c r="CX49" s="167"/>
    </row>
    <row r="50" ht="18" spans="1:102">
      <c r="A50" s="165" t="s">
        <v>126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66"/>
      <c r="BI50" s="166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167"/>
      <c r="BV50" s="167"/>
      <c r="BW50" s="167"/>
      <c r="BX50" s="167"/>
      <c r="BY50" s="167"/>
      <c r="BZ50" s="167"/>
      <c r="CA50" s="167"/>
      <c r="CB50" s="167"/>
      <c r="CC50" s="167"/>
      <c r="CD50" s="167"/>
      <c r="CE50" s="167"/>
      <c r="CF50" s="167"/>
      <c r="CG50" s="167"/>
      <c r="CH50" s="167"/>
      <c r="CI50" s="167"/>
      <c r="CJ50" s="167"/>
      <c r="CK50" s="167"/>
      <c r="CL50" s="167"/>
      <c r="CM50" s="167"/>
      <c r="CN50" s="167"/>
      <c r="CO50" s="167"/>
      <c r="CP50" s="167"/>
      <c r="CQ50" s="167"/>
      <c r="CR50" s="167"/>
      <c r="CS50" s="167"/>
      <c r="CT50" s="167"/>
      <c r="CU50" s="167"/>
      <c r="CV50" s="167"/>
      <c r="CW50" s="167"/>
      <c r="CX50" s="167"/>
    </row>
    <row r="51" ht="18" spans="1:102">
      <c r="A51" s="165" t="s">
        <v>127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167"/>
      <c r="BV51" s="167"/>
      <c r="BW51" s="167"/>
      <c r="BX51" s="167"/>
      <c r="BY51" s="167"/>
      <c r="BZ51" s="167"/>
      <c r="CA51" s="167"/>
      <c r="CB51" s="167"/>
      <c r="CC51" s="167"/>
      <c r="CD51" s="167"/>
      <c r="CE51" s="167"/>
      <c r="CF51" s="167"/>
      <c r="CG51" s="167"/>
      <c r="CH51" s="167"/>
      <c r="CI51" s="167"/>
      <c r="CJ51" s="167"/>
      <c r="CK51" s="167"/>
      <c r="CL51" s="167"/>
      <c r="CM51" s="167"/>
      <c r="CN51" s="167"/>
      <c r="CO51" s="167"/>
      <c r="CP51" s="167"/>
      <c r="CQ51" s="167"/>
      <c r="CR51" s="167"/>
      <c r="CS51" s="167"/>
      <c r="CT51" s="167"/>
      <c r="CU51" s="167"/>
      <c r="CV51" s="167"/>
      <c r="CW51" s="167"/>
      <c r="CX51" s="167"/>
    </row>
    <row r="52" ht="18" spans="1:102">
      <c r="A52" s="165" t="s">
        <v>128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  <c r="CO52" s="167"/>
      <c r="CP52" s="167"/>
      <c r="CQ52" s="167"/>
      <c r="CR52" s="167"/>
      <c r="CS52" s="167"/>
      <c r="CT52" s="167"/>
      <c r="CU52" s="167"/>
      <c r="CV52" s="167"/>
      <c r="CW52" s="167"/>
      <c r="CX52" s="167"/>
    </row>
    <row r="53" ht="18" spans="1:102">
      <c r="A53" s="165" t="s">
        <v>129</v>
      </c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167"/>
      <c r="BV53" s="167"/>
      <c r="BW53" s="167"/>
      <c r="BX53" s="167"/>
      <c r="BY53" s="167"/>
      <c r="BZ53" s="167"/>
      <c r="CA53" s="167"/>
      <c r="CB53" s="167"/>
      <c r="CC53" s="167"/>
      <c r="CD53" s="167"/>
      <c r="CE53" s="167"/>
      <c r="CF53" s="167"/>
      <c r="CG53" s="167"/>
      <c r="CH53" s="167"/>
      <c r="CI53" s="167"/>
      <c r="CJ53" s="167"/>
      <c r="CK53" s="167"/>
      <c r="CL53" s="167"/>
      <c r="CM53" s="167"/>
      <c r="CN53" s="167"/>
      <c r="CO53" s="167"/>
      <c r="CP53" s="167"/>
      <c r="CQ53" s="167"/>
      <c r="CR53" s="167"/>
      <c r="CS53" s="167"/>
      <c r="CT53" s="167"/>
      <c r="CU53" s="167"/>
      <c r="CV53" s="167"/>
      <c r="CW53" s="167"/>
      <c r="CX53" s="167"/>
    </row>
    <row r="54" ht="18" spans="1:102">
      <c r="A54" s="165" t="s">
        <v>130</v>
      </c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  <c r="CF54" s="167"/>
      <c r="CG54" s="167"/>
      <c r="CH54" s="167"/>
      <c r="CI54" s="167"/>
      <c r="CJ54" s="167"/>
      <c r="CK54" s="167"/>
      <c r="CL54" s="167"/>
      <c r="CM54" s="167"/>
      <c r="CN54" s="167"/>
      <c r="CO54" s="167"/>
      <c r="CP54" s="167"/>
      <c r="CQ54" s="167"/>
      <c r="CR54" s="167"/>
      <c r="CS54" s="167"/>
      <c r="CT54" s="167"/>
      <c r="CU54" s="167"/>
      <c r="CV54" s="167"/>
      <c r="CW54" s="167"/>
      <c r="CX54" s="167"/>
    </row>
    <row r="55" ht="18" spans="1:102">
      <c r="A55" s="165" t="s">
        <v>131</v>
      </c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7"/>
      <c r="CG55" s="167"/>
      <c r="CH55" s="167"/>
      <c r="CI55" s="167"/>
      <c r="CJ55" s="167"/>
      <c r="CK55" s="167"/>
      <c r="CL55" s="167"/>
      <c r="CM55" s="167"/>
      <c r="CN55" s="167"/>
      <c r="CO55" s="167"/>
      <c r="CP55" s="167"/>
      <c r="CQ55" s="167"/>
      <c r="CR55" s="167"/>
      <c r="CS55" s="167"/>
      <c r="CT55" s="167"/>
      <c r="CU55" s="167"/>
      <c r="CV55" s="167"/>
      <c r="CW55" s="167"/>
      <c r="CX55" s="167"/>
    </row>
    <row r="56" ht="18" spans="1:102">
      <c r="A56" s="165" t="s">
        <v>132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  <c r="CF56" s="167"/>
      <c r="CG56" s="167"/>
      <c r="CH56" s="167"/>
      <c r="CI56" s="167"/>
      <c r="CJ56" s="167"/>
      <c r="CK56" s="167"/>
      <c r="CL56" s="167"/>
      <c r="CM56" s="167"/>
      <c r="CN56" s="167"/>
      <c r="CO56" s="167"/>
      <c r="CP56" s="167"/>
      <c r="CQ56" s="167"/>
      <c r="CR56" s="167"/>
      <c r="CS56" s="167"/>
      <c r="CT56" s="167"/>
      <c r="CU56" s="167"/>
      <c r="CV56" s="167"/>
      <c r="CW56" s="167"/>
      <c r="CX56" s="167"/>
    </row>
    <row r="57" ht="18" spans="1:102">
      <c r="A57" s="165" t="s">
        <v>133</v>
      </c>
      <c r="B57" s="169">
        <f>SUM(B4:B56)</f>
        <v>29</v>
      </c>
      <c r="C57" s="169">
        <f t="shared" ref="C57:BM57" si="0">SUM(C4:C56)</f>
        <v>0</v>
      </c>
      <c r="D57" s="169">
        <f t="shared" si="0"/>
        <v>15</v>
      </c>
      <c r="E57" s="169">
        <f t="shared" si="0"/>
        <v>0</v>
      </c>
      <c r="F57" s="169">
        <f t="shared" si="0"/>
        <v>0</v>
      </c>
      <c r="G57" s="169">
        <f t="shared" si="0"/>
        <v>0</v>
      </c>
      <c r="H57" s="169">
        <f t="shared" si="0"/>
        <v>0</v>
      </c>
      <c r="I57" s="169">
        <f t="shared" si="0"/>
        <v>0</v>
      </c>
      <c r="J57" s="169">
        <f t="shared" si="0"/>
        <v>0</v>
      </c>
      <c r="K57" s="169">
        <f t="shared" si="0"/>
        <v>0</v>
      </c>
      <c r="L57" s="169">
        <f t="shared" si="0"/>
        <v>5</v>
      </c>
      <c r="M57" s="169">
        <f t="shared" si="0"/>
        <v>0</v>
      </c>
      <c r="N57" s="169">
        <f t="shared" si="0"/>
        <v>0</v>
      </c>
      <c r="O57" s="169">
        <f t="shared" si="0"/>
        <v>0</v>
      </c>
      <c r="P57" s="169">
        <f t="shared" si="0"/>
        <v>0</v>
      </c>
      <c r="Q57" s="169">
        <f t="shared" si="0"/>
        <v>0</v>
      </c>
      <c r="R57" s="169"/>
      <c r="S57" s="169">
        <f t="shared" si="0"/>
        <v>0</v>
      </c>
      <c r="T57" s="169">
        <f t="shared" si="0"/>
        <v>0</v>
      </c>
      <c r="U57" s="169">
        <f t="shared" si="0"/>
        <v>0</v>
      </c>
      <c r="V57" s="169">
        <f t="shared" si="0"/>
        <v>0</v>
      </c>
      <c r="W57" s="169">
        <f t="shared" si="0"/>
        <v>0</v>
      </c>
      <c r="X57" s="169">
        <f t="shared" si="0"/>
        <v>75070</v>
      </c>
      <c r="Y57" s="169">
        <f t="shared" si="0"/>
        <v>21832</v>
      </c>
      <c r="Z57" s="169">
        <f t="shared" si="0"/>
        <v>5876</v>
      </c>
      <c r="AA57" s="169">
        <f t="shared" si="0"/>
        <v>1208</v>
      </c>
      <c r="AB57" s="169">
        <f t="shared" si="0"/>
        <v>3</v>
      </c>
      <c r="AC57" s="169">
        <f t="shared" si="0"/>
        <v>1</v>
      </c>
      <c r="AD57" s="169">
        <f t="shared" si="0"/>
        <v>2015</v>
      </c>
      <c r="AE57" s="169">
        <f t="shared" si="0"/>
        <v>731</v>
      </c>
      <c r="AF57" s="169">
        <f t="shared" si="0"/>
        <v>237</v>
      </c>
      <c r="AG57" s="169">
        <f t="shared" si="0"/>
        <v>1</v>
      </c>
      <c r="AH57" s="169">
        <f t="shared" si="0"/>
        <v>0</v>
      </c>
      <c r="AI57" s="169">
        <f t="shared" si="0"/>
        <v>0</v>
      </c>
      <c r="AJ57" s="169">
        <f t="shared" si="0"/>
        <v>0</v>
      </c>
      <c r="AK57" s="169">
        <f t="shared" si="0"/>
        <v>0</v>
      </c>
      <c r="AL57" s="169">
        <f t="shared" si="0"/>
        <v>0</v>
      </c>
      <c r="AM57" s="169">
        <f t="shared" si="0"/>
        <v>0</v>
      </c>
      <c r="AN57" s="169">
        <f t="shared" si="0"/>
        <v>0</v>
      </c>
      <c r="AO57" s="169">
        <f t="shared" si="0"/>
        <v>0</v>
      </c>
      <c r="AP57" s="169">
        <f t="shared" si="0"/>
        <v>0</v>
      </c>
      <c r="AQ57" s="169">
        <f t="shared" si="0"/>
        <v>0</v>
      </c>
      <c r="AR57" s="169">
        <f t="shared" si="0"/>
        <v>0</v>
      </c>
      <c r="AS57" s="169">
        <f t="shared" si="0"/>
        <v>0</v>
      </c>
      <c r="AT57" s="169">
        <f t="shared" si="0"/>
        <v>16</v>
      </c>
      <c r="AU57" s="169">
        <f t="shared" si="0"/>
        <v>0</v>
      </c>
      <c r="AV57" s="169">
        <f t="shared" si="0"/>
        <v>147</v>
      </c>
      <c r="AW57" s="169">
        <f t="shared" si="0"/>
        <v>0</v>
      </c>
      <c r="AX57" s="169">
        <f t="shared" si="0"/>
        <v>72</v>
      </c>
      <c r="AY57" s="169">
        <f t="shared" si="0"/>
        <v>0</v>
      </c>
      <c r="AZ57" s="169">
        <f t="shared" si="0"/>
        <v>1</v>
      </c>
      <c r="BA57" s="169">
        <f t="shared" si="0"/>
        <v>1</v>
      </c>
      <c r="BB57" s="169">
        <f t="shared" si="0"/>
        <v>1127</v>
      </c>
      <c r="BC57" s="169">
        <f t="shared" si="0"/>
        <v>1127</v>
      </c>
      <c r="BD57" s="169">
        <f t="shared" si="0"/>
        <v>1127</v>
      </c>
      <c r="BE57" s="169">
        <f t="shared" si="0"/>
        <v>4798</v>
      </c>
      <c r="BF57" s="169">
        <f t="shared" si="0"/>
        <v>4785</v>
      </c>
      <c r="BG57" s="169">
        <f t="shared" si="0"/>
        <v>4785</v>
      </c>
      <c r="BH57" s="169">
        <f t="shared" si="0"/>
        <v>1154</v>
      </c>
      <c r="BI57" s="169">
        <f t="shared" si="0"/>
        <v>0</v>
      </c>
      <c r="BJ57" s="169">
        <f t="shared" si="0"/>
        <v>28</v>
      </c>
      <c r="BK57" s="169">
        <f t="shared" si="0"/>
        <v>28</v>
      </c>
      <c r="BL57" s="169">
        <f t="shared" si="0"/>
        <v>27</v>
      </c>
      <c r="BM57" s="169">
        <f t="shared" si="0"/>
        <v>1</v>
      </c>
      <c r="BN57" s="169">
        <f t="shared" ref="BN57:CX57" si="1">SUM(BN4:BN56)</f>
        <v>1</v>
      </c>
      <c r="BO57" s="169">
        <f t="shared" si="1"/>
        <v>0</v>
      </c>
      <c r="BP57" s="169">
        <f t="shared" si="1"/>
        <v>0</v>
      </c>
      <c r="BQ57" s="169">
        <f t="shared" si="1"/>
        <v>0</v>
      </c>
      <c r="BR57" s="169">
        <f t="shared" si="1"/>
        <v>0</v>
      </c>
      <c r="BS57" s="169">
        <f t="shared" si="1"/>
        <v>0</v>
      </c>
      <c r="BT57" s="169">
        <f t="shared" si="1"/>
        <v>0</v>
      </c>
      <c r="BU57" s="169">
        <f t="shared" si="1"/>
        <v>0</v>
      </c>
      <c r="BV57" s="169">
        <f t="shared" si="1"/>
        <v>0</v>
      </c>
      <c r="BW57" s="169">
        <f t="shared" si="1"/>
        <v>0</v>
      </c>
      <c r="BX57" s="169">
        <f t="shared" si="1"/>
        <v>0</v>
      </c>
      <c r="BY57" s="169">
        <f t="shared" si="1"/>
        <v>0</v>
      </c>
      <c r="BZ57" s="169">
        <f t="shared" si="1"/>
        <v>0</v>
      </c>
      <c r="CA57" s="169">
        <f t="shared" si="1"/>
        <v>0</v>
      </c>
      <c r="CB57" s="169">
        <f t="shared" si="1"/>
        <v>0</v>
      </c>
      <c r="CC57" s="169">
        <f t="shared" si="1"/>
        <v>0</v>
      </c>
      <c r="CD57" s="169">
        <f t="shared" si="1"/>
        <v>0</v>
      </c>
      <c r="CE57" s="169">
        <f t="shared" si="1"/>
        <v>0</v>
      </c>
      <c r="CF57" s="169">
        <f t="shared" si="1"/>
        <v>0</v>
      </c>
      <c r="CG57" s="169">
        <f t="shared" si="1"/>
        <v>0</v>
      </c>
      <c r="CH57" s="169">
        <f t="shared" si="1"/>
        <v>0</v>
      </c>
      <c r="CI57" s="169">
        <f t="shared" si="1"/>
        <v>0</v>
      </c>
      <c r="CJ57" s="169">
        <f t="shared" si="1"/>
        <v>0</v>
      </c>
      <c r="CK57" s="169">
        <f t="shared" si="1"/>
        <v>2009</v>
      </c>
      <c r="CL57" s="169">
        <f t="shared" si="1"/>
        <v>1736</v>
      </c>
      <c r="CM57" s="169">
        <f t="shared" si="1"/>
        <v>1007</v>
      </c>
      <c r="CN57" s="169">
        <f t="shared" si="1"/>
        <v>729</v>
      </c>
      <c r="CO57" s="169">
        <f t="shared" si="1"/>
        <v>15</v>
      </c>
      <c r="CP57" s="169">
        <f t="shared" si="1"/>
        <v>14</v>
      </c>
      <c r="CQ57" s="169">
        <f t="shared" si="1"/>
        <v>5</v>
      </c>
      <c r="CR57" s="169">
        <f t="shared" si="1"/>
        <v>5</v>
      </c>
      <c r="CS57" s="169">
        <f t="shared" si="1"/>
        <v>4</v>
      </c>
      <c r="CT57" s="169">
        <f t="shared" si="1"/>
        <v>0</v>
      </c>
      <c r="CU57" s="169">
        <f t="shared" si="1"/>
        <v>0</v>
      </c>
      <c r="CV57" s="169">
        <f t="shared" si="1"/>
        <v>92</v>
      </c>
      <c r="CW57" s="169">
        <f t="shared" si="1"/>
        <v>92</v>
      </c>
      <c r="CX57" s="169">
        <f t="shared" si="1"/>
        <v>92</v>
      </c>
    </row>
  </sheetData>
  <mergeCells count="48">
    <mergeCell ref="B1:C1"/>
    <mergeCell ref="D1:E1"/>
    <mergeCell ref="F1:G1"/>
    <mergeCell ref="H1:I1"/>
    <mergeCell ref="J1:K1"/>
    <mergeCell ref="L1:M1"/>
    <mergeCell ref="N1:O1"/>
    <mergeCell ref="P1:R1"/>
    <mergeCell ref="S1:T1"/>
    <mergeCell ref="V1:W1"/>
    <mergeCell ref="X1:Y1"/>
    <mergeCell ref="Z1:AC1"/>
    <mergeCell ref="AD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D1"/>
    <mergeCell ref="BE1:BG1"/>
    <mergeCell ref="BH1:BI1"/>
    <mergeCell ref="BJ1:CJ1"/>
    <mergeCell ref="CK1:CN1"/>
    <mergeCell ref="CO1:CP1"/>
    <mergeCell ref="CQ1:CS1"/>
    <mergeCell ref="CT1:CU1"/>
    <mergeCell ref="CV1:CX1"/>
    <mergeCell ref="BK2:BR2"/>
    <mergeCell ref="BS2:BZ2"/>
    <mergeCell ref="CA2:CJ2"/>
    <mergeCell ref="CM2:CN2"/>
    <mergeCell ref="CV2:CX2"/>
    <mergeCell ref="A1:A2"/>
    <mergeCell ref="BJ2:BJ3"/>
    <mergeCell ref="CK2:CK3"/>
    <mergeCell ref="CL2:CL3"/>
    <mergeCell ref="CO2:CO3"/>
    <mergeCell ref="CP2:CP3"/>
    <mergeCell ref="CQ2:CQ3"/>
    <mergeCell ref="CR2:CR3"/>
    <mergeCell ref="CS2:CS3"/>
    <mergeCell ref="CT2:CT3"/>
    <mergeCell ref="CU2:CU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3">
    <tabColor rgb="FF00B050"/>
  </sheetPr>
  <dimension ref="A1:DD57"/>
  <sheetViews>
    <sheetView zoomScale="78" zoomScaleNormal="78" topLeftCell="B8" workbookViewId="0">
      <pane xSplit="1" ySplit="5" topLeftCell="C13" activePane="bottomRight" state="frozen"/>
      <selection/>
      <selection pane="topRight"/>
      <selection pane="bottomLeft"/>
      <selection pane="bottomRight" activeCell="M27" sqref="M27"/>
    </sheetView>
  </sheetViews>
  <sheetFormatPr defaultColWidth="11" defaultRowHeight="15"/>
  <cols>
    <col min="1" max="1" width="21.8571428571429" customWidth="1"/>
    <col min="2" max="2" width="50.7142857142857" customWidth="1"/>
    <col min="3" max="3" width="14.5714285714286" customWidth="1"/>
    <col min="4" max="4" width="10" customWidth="1"/>
    <col min="5" max="5" width="17" hidden="1" customWidth="1"/>
    <col min="6" max="6" width="15.8571428571429" customWidth="1"/>
    <col min="7" max="7" width="12.1428571428571" customWidth="1"/>
    <col min="8" max="8" width="18.7142857142857" customWidth="1"/>
    <col min="9" max="9" width="16.8571428571429" customWidth="1"/>
    <col min="10" max="10" width="10" customWidth="1"/>
    <col min="11" max="11" width="18" customWidth="1"/>
    <col min="12" max="12" width="10" customWidth="1"/>
    <col min="13" max="13" width="9.28571428571429" customWidth="1"/>
    <col min="14" max="14" width="10" customWidth="1"/>
    <col min="15" max="15" width="15.8571428571429" customWidth="1"/>
    <col min="16" max="16" width="16.1428571428571" customWidth="1"/>
    <col min="17" max="17" width="12.4285714285714" customWidth="1"/>
    <col min="18" max="18" width="10.1428571428571" customWidth="1"/>
    <col min="19" max="19" width="9.14285714285714" customWidth="1"/>
    <col min="20" max="20" width="10.4285714285714" customWidth="1"/>
    <col min="21" max="21" width="10" customWidth="1"/>
    <col min="22" max="22" width="11.1428571428571" customWidth="1"/>
    <col min="23" max="23" width="10" customWidth="1"/>
    <col min="24" max="24" width="11.1428571428571" customWidth="1"/>
    <col min="25" max="25" width="10" customWidth="1"/>
    <col min="26" max="26" width="11.1428571428571" customWidth="1"/>
    <col min="27" max="27" width="10.4285714285714" customWidth="1"/>
    <col min="28" max="28" width="13.7142857142857" customWidth="1"/>
    <col min="29" max="29" width="11.8571428571429" customWidth="1"/>
    <col min="30" max="31" width="10" customWidth="1"/>
    <col min="32" max="32" width="12.7142857142857" customWidth="1"/>
    <col min="33" max="33" width="10" customWidth="1"/>
    <col min="34" max="34" width="12" customWidth="1"/>
    <col min="35" max="35" width="10" customWidth="1"/>
    <col min="36" max="36" width="12.7142857142857" customWidth="1"/>
    <col min="37" max="37" width="13" customWidth="1"/>
    <col min="38" max="38" width="13.7142857142857" customWidth="1"/>
    <col min="39" max="39" width="9.85714285714286" customWidth="1"/>
    <col min="40" max="40" width="11.7142857142857" customWidth="1"/>
    <col min="41" max="41" width="12.8571428571429" customWidth="1"/>
    <col min="42" max="43" width="11.7142857142857" customWidth="1"/>
    <col min="44" max="45" width="10" customWidth="1"/>
    <col min="46" max="46" width="9.14285714285714" customWidth="1"/>
    <col min="47" max="49" width="10" customWidth="1"/>
    <col min="50" max="50" width="11.1428571428571" customWidth="1"/>
    <col min="51" max="51" width="10" customWidth="1"/>
    <col min="52" max="52" width="14.1428571428571" customWidth="1"/>
    <col min="53" max="53" width="12" customWidth="1"/>
    <col min="54" max="54" width="19.5714285714286" customWidth="1"/>
    <col min="55" max="55" width="14.1428571428571" customWidth="1"/>
    <col min="56" max="56" width="12" customWidth="1"/>
    <col min="57" max="57" width="19.5714285714286" customWidth="1"/>
    <col min="58" max="58" width="14.5714285714286" customWidth="1"/>
    <col min="59" max="59" width="13.8571428571429" customWidth="1"/>
    <col min="60" max="77" width="10" customWidth="1"/>
    <col min="78" max="79" width="11.1428571428571" customWidth="1"/>
    <col min="80" max="82" width="10" customWidth="1"/>
    <col min="83" max="84" width="11.1428571428571" customWidth="1"/>
    <col min="85" max="87" width="10" customWidth="1"/>
    <col min="88" max="89" width="11.1428571428571" customWidth="1"/>
    <col min="90" max="91" width="10" customWidth="1"/>
    <col min="92" max="96" width="11.7142857142857" customWidth="1"/>
    <col min="97" max="97" width="19.7142857142857" customWidth="1"/>
    <col min="98" max="98" width="12.1428571428571" customWidth="1"/>
    <col min="99" max="99" width="14.5714285714286" customWidth="1"/>
    <col min="100" max="100" width="12.5714285714286" customWidth="1"/>
    <col min="101" max="101" width="13" customWidth="1"/>
    <col min="102" max="102" width="13.7142857142857" customWidth="1"/>
    <col min="103" max="108" width="11.5714285714286" customWidth="1"/>
  </cols>
  <sheetData>
    <row r="1" s="1" customFormat="1" ht="24.75" customHeight="1" spans="1:108">
      <c r="A1" s="3" t="s">
        <v>244</v>
      </c>
      <c r="B1" s="4" t="s">
        <v>8</v>
      </c>
      <c r="C1" s="5"/>
      <c r="D1" s="6" t="s">
        <v>9</v>
      </c>
      <c r="E1" s="7"/>
      <c r="F1" s="6" t="s">
        <v>10</v>
      </c>
      <c r="G1" s="7"/>
      <c r="H1" s="6" t="s">
        <v>11</v>
      </c>
      <c r="I1" s="7"/>
      <c r="J1" s="6" t="s">
        <v>275</v>
      </c>
      <c r="K1" s="7"/>
      <c r="L1" s="8" t="s">
        <v>13</v>
      </c>
      <c r="M1" s="9"/>
      <c r="N1" s="6" t="s">
        <v>276</v>
      </c>
      <c r="O1" s="7"/>
      <c r="P1" s="6" t="s">
        <v>250</v>
      </c>
      <c r="Q1" s="7"/>
      <c r="R1" s="10" t="s">
        <v>277</v>
      </c>
      <c r="S1" s="6" t="s">
        <v>278</v>
      </c>
      <c r="T1" s="7"/>
      <c r="U1" s="11" t="s">
        <v>279</v>
      </c>
      <c r="V1" s="12"/>
      <c r="W1" s="6" t="s">
        <v>19</v>
      </c>
      <c r="X1" s="13"/>
      <c r="Y1" s="13"/>
      <c r="Z1" s="7"/>
      <c r="AA1" s="14" t="s">
        <v>20</v>
      </c>
      <c r="AB1" s="15"/>
      <c r="AC1" s="15"/>
      <c r="AD1" s="16"/>
      <c r="AE1" s="289" t="s">
        <v>257</v>
      </c>
      <c r="AF1" s="5"/>
      <c r="AG1" s="290" t="s">
        <v>258</v>
      </c>
      <c r="AH1" s="7"/>
      <c r="AI1" s="289" t="s">
        <v>23</v>
      </c>
      <c r="AJ1" s="5"/>
      <c r="AK1" s="291" t="s">
        <v>24</v>
      </c>
      <c r="AL1" s="18"/>
      <c r="AM1" s="19"/>
      <c r="AN1" s="291" t="s">
        <v>255</v>
      </c>
      <c r="AO1" s="19"/>
      <c r="AP1" s="291" t="s">
        <v>26</v>
      </c>
      <c r="AQ1" s="19"/>
      <c r="AR1" s="291" t="s">
        <v>27</v>
      </c>
      <c r="AS1" s="19"/>
      <c r="AT1" s="291" t="s">
        <v>28</v>
      </c>
      <c r="AU1" s="19"/>
      <c r="AV1" s="291" t="s">
        <v>29</v>
      </c>
      <c r="AW1" s="19"/>
      <c r="AX1" s="291" t="s">
        <v>256</v>
      </c>
      <c r="AY1" s="19"/>
      <c r="AZ1" s="6" t="s">
        <v>31</v>
      </c>
      <c r="BA1" s="13"/>
      <c r="BB1" s="7"/>
      <c r="BC1" s="20" t="s">
        <v>32</v>
      </c>
      <c r="BD1" s="21"/>
      <c r="BE1" s="22"/>
      <c r="BF1" s="23" t="s">
        <v>33</v>
      </c>
      <c r="BG1" s="24" t="s">
        <v>2</v>
      </c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6"/>
      <c r="CH1" s="27" t="s">
        <v>3</v>
      </c>
      <c r="CI1" s="28"/>
      <c r="CJ1" s="28"/>
      <c r="CK1" s="29"/>
      <c r="CL1" s="30" t="s">
        <v>4</v>
      </c>
      <c r="CM1" s="31"/>
      <c r="CN1" s="32" t="s">
        <v>5</v>
      </c>
      <c r="CO1" s="33"/>
      <c r="CP1" s="34"/>
      <c r="CQ1" s="35" t="s">
        <v>6</v>
      </c>
      <c r="CR1" s="36"/>
      <c r="CS1" s="37">
        <v>184036</v>
      </c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</row>
    <row r="2" s="1" customFormat="1" ht="45" customHeight="1" spans="1:108">
      <c r="A2" s="39"/>
      <c r="B2" s="292" t="s">
        <v>47</v>
      </c>
      <c r="C2" s="292" t="s">
        <v>261</v>
      </c>
      <c r="D2" s="293" t="s">
        <v>47</v>
      </c>
      <c r="E2" s="293" t="s">
        <v>261</v>
      </c>
      <c r="F2" s="293" t="s">
        <v>47</v>
      </c>
      <c r="G2" s="293" t="s">
        <v>261</v>
      </c>
      <c r="H2" s="293" t="s">
        <v>47</v>
      </c>
      <c r="I2" s="293" t="s">
        <v>261</v>
      </c>
      <c r="J2" s="293" t="s">
        <v>47</v>
      </c>
      <c r="K2" s="293" t="s">
        <v>261</v>
      </c>
      <c r="L2" s="294" t="s">
        <v>47</v>
      </c>
      <c r="M2" s="294" t="s">
        <v>261</v>
      </c>
      <c r="N2" s="293" t="s">
        <v>47</v>
      </c>
      <c r="O2" s="293" t="s">
        <v>261</v>
      </c>
      <c r="P2" s="41" t="s">
        <v>49</v>
      </c>
      <c r="Q2" s="41" t="s">
        <v>50</v>
      </c>
      <c r="R2" s="41" t="s">
        <v>264</v>
      </c>
      <c r="S2" s="41" t="s">
        <v>264</v>
      </c>
      <c r="T2" s="41" t="s">
        <v>263</v>
      </c>
      <c r="U2" s="295" t="s">
        <v>47</v>
      </c>
      <c r="V2" s="295" t="s">
        <v>266</v>
      </c>
      <c r="W2" s="41" t="s">
        <v>47</v>
      </c>
      <c r="X2" s="41" t="s">
        <v>266</v>
      </c>
      <c r="Y2" s="41" t="s">
        <v>267</v>
      </c>
      <c r="Z2" s="41" t="s">
        <v>266</v>
      </c>
      <c r="AA2" s="296" t="s">
        <v>47</v>
      </c>
      <c r="AB2" s="296" t="s">
        <v>280</v>
      </c>
      <c r="AC2" s="296" t="s">
        <v>269</v>
      </c>
      <c r="AD2" s="296" t="s">
        <v>261</v>
      </c>
      <c r="AE2" s="292" t="s">
        <v>272</v>
      </c>
      <c r="AF2" s="292" t="s">
        <v>273</v>
      </c>
      <c r="AG2" s="293" t="s">
        <v>272</v>
      </c>
      <c r="AH2" s="293" t="s">
        <v>273</v>
      </c>
      <c r="AI2" s="292" t="s">
        <v>272</v>
      </c>
      <c r="AJ2" s="292" t="s">
        <v>273</v>
      </c>
      <c r="AK2" s="293" t="s">
        <v>52</v>
      </c>
      <c r="AL2" s="293" t="s">
        <v>262</v>
      </c>
      <c r="AM2" s="293" t="s">
        <v>271</v>
      </c>
      <c r="AN2" s="293" t="s">
        <v>270</v>
      </c>
      <c r="AO2" s="293" t="s">
        <v>271</v>
      </c>
      <c r="AP2" s="293" t="s">
        <v>47</v>
      </c>
      <c r="AQ2" s="293" t="s">
        <v>271</v>
      </c>
      <c r="AR2" s="293" t="s">
        <v>47</v>
      </c>
      <c r="AS2" s="293" t="s">
        <v>271</v>
      </c>
      <c r="AT2" s="293" t="s">
        <v>47</v>
      </c>
      <c r="AU2" s="293" t="s">
        <v>271</v>
      </c>
      <c r="AV2" s="293" t="s">
        <v>270</v>
      </c>
      <c r="AW2" s="293" t="s">
        <v>263</v>
      </c>
      <c r="AX2" s="293" t="s">
        <v>270</v>
      </c>
      <c r="AY2" s="293" t="s">
        <v>271</v>
      </c>
      <c r="AZ2" s="293" t="s">
        <v>77</v>
      </c>
      <c r="BA2" s="293" t="s">
        <v>78</v>
      </c>
      <c r="BB2" s="293" t="s">
        <v>79</v>
      </c>
      <c r="BC2" s="293" t="s">
        <v>77</v>
      </c>
      <c r="BD2" s="293" t="s">
        <v>78</v>
      </c>
      <c r="BE2" s="293" t="s">
        <v>79</v>
      </c>
      <c r="BF2" s="23"/>
      <c r="BG2" s="297" t="s">
        <v>34</v>
      </c>
      <c r="BH2" s="46" t="s">
        <v>35</v>
      </c>
      <c r="BI2" s="47"/>
      <c r="BJ2" s="47"/>
      <c r="BK2" s="47"/>
      <c r="BL2" s="47"/>
      <c r="BM2" s="47"/>
      <c r="BN2" s="47"/>
      <c r="BO2" s="48"/>
      <c r="BP2" s="46" t="s">
        <v>36</v>
      </c>
      <c r="BQ2" s="47"/>
      <c r="BR2" s="47"/>
      <c r="BS2" s="47"/>
      <c r="BT2" s="47"/>
      <c r="BU2" s="47"/>
      <c r="BV2" s="47"/>
      <c r="BW2" s="48"/>
      <c r="BX2" s="46" t="s">
        <v>37</v>
      </c>
      <c r="BY2" s="47"/>
      <c r="BZ2" s="47"/>
      <c r="CA2" s="47"/>
      <c r="CB2" s="47"/>
      <c r="CC2" s="47"/>
      <c r="CD2" s="47"/>
      <c r="CE2" s="47"/>
      <c r="CF2" s="47"/>
      <c r="CG2" s="48"/>
      <c r="CH2" s="298" t="s">
        <v>38</v>
      </c>
      <c r="CI2" s="50" t="s">
        <v>39</v>
      </c>
      <c r="CJ2" s="51" t="s">
        <v>40</v>
      </c>
      <c r="CK2" s="52"/>
      <c r="CL2" s="299" t="s">
        <v>38</v>
      </c>
      <c r="CM2" s="54" t="s">
        <v>42</v>
      </c>
      <c r="CN2" s="300" t="s">
        <v>38</v>
      </c>
      <c r="CO2" s="54" t="s">
        <v>42</v>
      </c>
      <c r="CP2" s="56" t="s">
        <v>44</v>
      </c>
      <c r="CQ2" s="301" t="s">
        <v>38</v>
      </c>
      <c r="CR2" s="58" t="s">
        <v>42</v>
      </c>
      <c r="CS2" s="302" t="s">
        <v>281</v>
      </c>
      <c r="CT2" s="60" t="s">
        <v>282</v>
      </c>
      <c r="CU2" s="60" t="s">
        <v>283</v>
      </c>
      <c r="CV2" s="61"/>
      <c r="CW2" s="62"/>
      <c r="CX2" s="62"/>
      <c r="CY2" s="61"/>
      <c r="CZ2" s="61"/>
      <c r="DA2" s="61"/>
      <c r="DB2" s="61"/>
      <c r="DC2" s="61"/>
      <c r="DD2" s="61"/>
    </row>
    <row r="3" s="2" customFormat="1" ht="18.75" spans="1:108">
      <c r="A3" s="63" t="str">
        <f>'[2]SYNTH TLOH 2024'!A55</f>
        <v>S53</v>
      </c>
      <c r="B3" s="63">
        <f>'[2]SYNTH TLOH 2024'!B55</f>
        <v>0</v>
      </c>
      <c r="C3" s="63">
        <f>'[2]SYNTH TLOH 2024'!C55</f>
        <v>0</v>
      </c>
      <c r="D3" s="63">
        <f>'[2]SYNTH TLOH 2024'!D55</f>
        <v>0</v>
      </c>
      <c r="E3" s="63">
        <f>'[2]SYNTH TLOH 2024'!E55</f>
        <v>0</v>
      </c>
      <c r="F3" s="63">
        <f>'[2]SYNTH TLOH 2024'!F55</f>
        <v>0</v>
      </c>
      <c r="G3" s="63">
        <f>'[2]SYNTH TLOH 2024'!G55</f>
        <v>0</v>
      </c>
      <c r="H3" s="63">
        <f>'[2]SYNTH TLOH 2024'!H55</f>
        <v>0</v>
      </c>
      <c r="I3" s="63">
        <f>'[2]SYNTH TLOH 2024'!I55</f>
        <v>0</v>
      </c>
      <c r="J3" s="63">
        <f>'[2]SYNTH TLOH 2024'!J55</f>
        <v>0</v>
      </c>
      <c r="K3" s="63">
        <f>'[2]SYNTH TLOH 2024'!K55</f>
        <v>0</v>
      </c>
      <c r="L3" s="63">
        <f>'[2]SYNTH TLOH 2024'!L55</f>
        <v>0</v>
      </c>
      <c r="M3" s="63">
        <f>'[2]SYNTH TLOH 2024'!M55</f>
        <v>0</v>
      </c>
      <c r="N3" s="63">
        <f>'[2]SYNTH TLOH 2024'!N55</f>
        <v>0</v>
      </c>
      <c r="O3" s="63">
        <f>'[2]SYNTH TLOH 2024'!O55</f>
        <v>0</v>
      </c>
      <c r="P3" s="63">
        <f>'[2]SYNTH TLOH 2024'!P55</f>
        <v>0</v>
      </c>
      <c r="Q3" s="63">
        <f>'[2]SYNTH TLOH 2024'!Q55</f>
        <v>0</v>
      </c>
      <c r="R3" s="63">
        <f>'[2]SYNTH TLOH 2024'!R55</f>
        <v>0</v>
      </c>
      <c r="S3" s="63">
        <f>'[2]SYNTH TLOH 2024'!S55</f>
        <v>0</v>
      </c>
      <c r="T3" s="63">
        <f>'[2]SYNTH TLOH 2024'!T55</f>
        <v>0</v>
      </c>
      <c r="U3" s="63">
        <f>'[2]SYNTH TLOH 2024'!U55</f>
        <v>791</v>
      </c>
      <c r="V3" s="63">
        <f>'[2]SYNTH TLOH 2024'!V55</f>
        <v>243</v>
      </c>
      <c r="W3" s="63">
        <f>'[2]SYNTH TLOH 2024'!W55</f>
        <v>51</v>
      </c>
      <c r="X3" s="63">
        <f>'[2]SYNTH TLOH 2024'!X55</f>
        <v>3</v>
      </c>
      <c r="Y3" s="63">
        <f>'[2]SYNTH TLOH 2024'!Y55</f>
        <v>0</v>
      </c>
      <c r="Z3" s="63">
        <f>'[2]SYNTH TLOH 2024'!Z55</f>
        <v>0</v>
      </c>
      <c r="AA3" s="63">
        <f>'[2]SYNTH TLOH 2024'!AA55</f>
        <v>19</v>
      </c>
      <c r="AB3" s="63">
        <f>'[2]SYNTH TLOH 2024'!AB55</f>
        <v>7</v>
      </c>
      <c r="AC3" s="63">
        <f>'[2]SYNTH TLOH 2024'!AC55</f>
        <v>1</v>
      </c>
      <c r="AD3" s="63">
        <f>'[2]SYNTH TLOH 2024'!AD55</f>
        <v>0</v>
      </c>
      <c r="AE3" s="63">
        <f>'[2]SYNTH TLOH 2024'!AE55</f>
        <v>0</v>
      </c>
      <c r="AF3" s="63">
        <f>'[2]SYNTH TLOH 2024'!AF55</f>
        <v>0</v>
      </c>
      <c r="AG3" s="63">
        <f>'[2]SYNTH TLOH 2024'!AG55</f>
        <v>0</v>
      </c>
      <c r="AH3" s="63">
        <f>'[2]SYNTH TLOH 2024'!AH55</f>
        <v>0</v>
      </c>
      <c r="AI3" s="63">
        <f>'[2]SYNTH TLOH 2024'!AI55</f>
        <v>0</v>
      </c>
      <c r="AJ3" s="63">
        <f>'[2]SYNTH TLOH 2024'!AJ55</f>
        <v>0</v>
      </c>
      <c r="AK3" s="63">
        <f>'[2]SYNTH TLOH 2024'!AK55</f>
        <v>0</v>
      </c>
      <c r="AL3" s="63">
        <f>'[2]SYNTH TLOH 2024'!AL55</f>
        <v>0</v>
      </c>
      <c r="AM3" s="63">
        <f>'[2]SYNTH TLOH 2024'!AM55</f>
        <v>0</v>
      </c>
      <c r="AN3" s="63">
        <f>'[2]SYNTH TLOH 2024'!AN55</f>
        <v>0</v>
      </c>
      <c r="AO3" s="63">
        <f>'[2]SYNTH TLOH 2024'!AO55</f>
        <v>0</v>
      </c>
      <c r="AP3" s="63">
        <f>'[2]SYNTH TLOH 2024'!AP55</f>
        <v>0</v>
      </c>
      <c r="AQ3" s="63">
        <f>'[2]SYNTH TLOH 2024'!AQ55</f>
        <v>0</v>
      </c>
      <c r="AR3" s="63">
        <f>'[2]SYNTH TLOH 2024'!AR55</f>
        <v>0</v>
      </c>
      <c r="AS3" s="63">
        <f>'[2]SYNTH TLOH 2024'!AS55</f>
        <v>0</v>
      </c>
      <c r="AT3" s="63">
        <f>'[2]SYNTH TLOH 2024'!AT55</f>
        <v>0</v>
      </c>
      <c r="AU3" s="63">
        <f>'[2]SYNTH TLOH 2024'!AU55</f>
        <v>0</v>
      </c>
      <c r="AV3" s="63">
        <f>'[2]SYNTH TLOH 2024'!AV55</f>
        <v>0</v>
      </c>
      <c r="AW3" s="63">
        <f>'[2]SYNTH TLOH 2024'!AW55</f>
        <v>0</v>
      </c>
      <c r="AX3" s="63">
        <f>'[2]SYNTH TLOH 2024'!AX55</f>
        <v>0</v>
      </c>
      <c r="AY3" s="63">
        <f>'[2]SYNTH TLOH 2024'!AY55</f>
        <v>0</v>
      </c>
      <c r="AZ3" s="63">
        <f>'[2]SYNTH TLOH 2024'!AZ55</f>
        <v>12</v>
      </c>
      <c r="BA3" s="63">
        <f>'[2]SYNTH TLOH 2024'!BA55</f>
        <v>12</v>
      </c>
      <c r="BB3" s="63">
        <f>'[2]SYNTH TLOH 2024'!BB55</f>
        <v>12</v>
      </c>
      <c r="BC3" s="63">
        <f>'[2]SYNTH TLOH 2024'!BC55</f>
        <v>74</v>
      </c>
      <c r="BD3" s="63">
        <f>'[2]SYNTH TLOH 2024'!BD55</f>
        <v>58</v>
      </c>
      <c r="BE3" s="63">
        <f>'[2]SYNTH TLOH 2024'!BE55</f>
        <v>58</v>
      </c>
      <c r="BF3" s="64">
        <f>'[2]SYNTH TLOH 2024'!BF55</f>
        <v>4</v>
      </c>
      <c r="BG3" s="65">
        <f>'[2]SYNTH TLOH 2024'!BG55</f>
        <v>0</v>
      </c>
      <c r="BH3" s="65">
        <f>'[2]SYNTH TLOH 2024'!BH55</f>
        <v>0</v>
      </c>
      <c r="BI3" s="65">
        <f>'[2]SYNTH TLOH 2024'!BI55</f>
        <v>0</v>
      </c>
      <c r="BJ3" s="65">
        <f>'[2]SYNTH TLOH 2024'!BJ55</f>
        <v>0</v>
      </c>
      <c r="BK3" s="65">
        <f>'[2]SYNTH TLOH 2024'!BK55</f>
        <v>0</v>
      </c>
      <c r="BL3" s="65">
        <f>'[2]SYNTH TLOH 2024'!BL55</f>
        <v>0</v>
      </c>
      <c r="BM3" s="65">
        <f>'[2]SYNTH TLOH 2024'!BM55</f>
        <v>0</v>
      </c>
      <c r="BN3" s="65">
        <f>'[2]SYNTH TLOH 2024'!BN55</f>
        <v>0</v>
      </c>
      <c r="BO3" s="65">
        <f>'[2]SYNTH TLOH 2024'!BO55</f>
        <v>0</v>
      </c>
      <c r="BP3" s="65">
        <f>'[2]SYNTH TLOH 2024'!BP55</f>
        <v>0</v>
      </c>
      <c r="BQ3" s="65">
        <f>'[2]SYNTH TLOH 2024'!BQ55</f>
        <v>0</v>
      </c>
      <c r="BR3" s="65">
        <f>'[2]SYNTH TLOH 2024'!BR55</f>
        <v>0</v>
      </c>
      <c r="BS3" s="65">
        <f>'[2]SYNTH TLOH 2024'!BS55</f>
        <v>0</v>
      </c>
      <c r="BT3" s="65">
        <f>'[2]SYNTH TLOH 2024'!BT55</f>
        <v>0</v>
      </c>
      <c r="BU3" s="65">
        <f>'[2]SYNTH TLOH 2024'!BU55</f>
        <v>0</v>
      </c>
      <c r="BV3" s="65">
        <f>'[2]SYNTH TLOH 2024'!BV55</f>
        <v>0</v>
      </c>
      <c r="BW3" s="65">
        <f>'[2]SYNTH TLOH 2024'!BW55</f>
        <v>0</v>
      </c>
      <c r="BX3" s="65">
        <f>'[2]SYNTH TLOH 2024'!BX55</f>
        <v>0</v>
      </c>
      <c r="BY3" s="65">
        <f>'[2]SYNTH TLOH 2024'!BY55</f>
        <v>0</v>
      </c>
      <c r="BZ3" s="65">
        <f>'[2]SYNTH TLOH 2024'!BZ55</f>
        <v>0</v>
      </c>
      <c r="CA3" s="65">
        <f>'[2]SYNTH TLOH 2024'!CA55</f>
        <v>0</v>
      </c>
      <c r="CB3" s="65">
        <f>'[2]SYNTH TLOH 2024'!CB55</f>
        <v>0</v>
      </c>
      <c r="CC3" s="65">
        <f>'[2]SYNTH TLOH 2024'!CC55</f>
        <v>0</v>
      </c>
      <c r="CD3" s="65">
        <f>'[2]SYNTH TLOH 2024'!CD55</f>
        <v>0</v>
      </c>
      <c r="CE3" s="65">
        <f>'[2]SYNTH TLOH 2024'!CE55</f>
        <v>0</v>
      </c>
      <c r="CF3" s="65">
        <f>'[2]SYNTH TLOH 2024'!CF55</f>
        <v>0</v>
      </c>
      <c r="CG3" s="65">
        <f>'[2]SYNTH TLOH 2024'!CG55</f>
        <v>0</v>
      </c>
      <c r="CH3" s="65">
        <f>'[2]SYNTH TLOH 2024'!CH55</f>
        <v>19</v>
      </c>
      <c r="CI3" s="65">
        <f>'[2]SYNTH TLOH 2024'!CI55</f>
        <v>19</v>
      </c>
      <c r="CJ3" s="65">
        <f>'[2]SYNTH TLOH 2024'!CJ55</f>
        <v>7</v>
      </c>
      <c r="CK3" s="65">
        <f>'[2]SYNTH TLOH 2024'!CK55</f>
        <v>12</v>
      </c>
      <c r="CL3" s="65">
        <f>'[2]SYNTH TLOH 2024'!CL55</f>
        <v>0</v>
      </c>
      <c r="CM3" s="65">
        <f>'[2]SYNTH TLOH 2024'!CM55</f>
        <v>0</v>
      </c>
      <c r="CN3" s="65">
        <f>'[2]SYNTH TLOH 2024'!CN55</f>
        <v>0</v>
      </c>
      <c r="CO3" s="65">
        <f>'[2]SYNTH TLOH 2024'!CO55</f>
        <v>0</v>
      </c>
      <c r="CP3" s="65">
        <f>'[2]SYNTH TLOH 2024'!CP55</f>
        <v>0</v>
      </c>
      <c r="CQ3" s="65">
        <f>'[2]SYNTH TLOH 2024'!CQ55</f>
        <v>0</v>
      </c>
      <c r="CR3" s="65">
        <f>'[2]SYNTH TLOH 2024'!CR55</f>
        <v>0</v>
      </c>
      <c r="CS3" s="65">
        <f>'[2]SYNTH TLOH 2024'!CS55</f>
        <v>0</v>
      </c>
      <c r="CT3" s="65">
        <f>'[2]SYNTH TLOH 2024'!CT55</f>
        <v>39</v>
      </c>
      <c r="CU3" s="65">
        <f>'[2]SYNTH TLOH 2024'!CU55</f>
        <v>4099</v>
      </c>
      <c r="CV3" s="61"/>
      <c r="CW3" s="66"/>
      <c r="CX3" s="66"/>
      <c r="CY3" s="67"/>
      <c r="CZ3" s="67"/>
      <c r="DA3" s="67"/>
      <c r="DB3" s="67"/>
      <c r="DC3" s="67"/>
      <c r="DD3" s="67"/>
    </row>
    <row r="4" spans="1:108">
      <c r="BA4">
        <f>BA3/$AZ$3*100</f>
        <v>100</v>
      </c>
      <c r="BB4">
        <f>BB3/$AZ$3*100</f>
        <v>100</v>
      </c>
      <c r="BD4">
        <f>BD3/$BC$3*100</f>
        <v>78.3783783783784</v>
      </c>
      <c r="BE4">
        <f>BE3/$BC$3*100</f>
        <v>78.3783783783784</v>
      </c>
      <c r="CV4" s="61"/>
    </row>
    <row r="5" ht="16.5" customHeight="1" spans="1:108">
      <c r="A5" s="68" t="s">
        <v>284</v>
      </c>
      <c r="B5" s="69" t="s">
        <v>285</v>
      </c>
      <c r="C5" s="70"/>
      <c r="D5" s="71"/>
      <c r="E5" s="72" t="s">
        <v>286</v>
      </c>
    </row>
    <row r="6" spans="1:108">
      <c r="A6" s="73"/>
      <c r="B6" s="74" t="s">
        <v>287</v>
      </c>
      <c r="C6" s="74" t="s">
        <v>288</v>
      </c>
      <c r="D6" s="74" t="s">
        <v>289</v>
      </c>
      <c r="E6" s="75" t="s">
        <v>290</v>
      </c>
    </row>
    <row r="7" ht="38.25" spans="1:108">
      <c r="A7" s="76"/>
      <c r="B7" s="77"/>
      <c r="C7" s="77"/>
      <c r="D7" s="77"/>
      <c r="E7" s="78" t="s">
        <v>291</v>
      </c>
      <c r="F7" s="79" t="s">
        <v>292</v>
      </c>
      <c r="G7" s="79" t="s">
        <v>293</v>
      </c>
      <c r="H7" s="79" t="s">
        <v>294</v>
      </c>
      <c r="I7" s="80" t="s">
        <v>295</v>
      </c>
      <c r="J7" s="80" t="s">
        <v>296</v>
      </c>
      <c r="K7" s="79" t="s">
        <v>297</v>
      </c>
      <c r="L7" s="79" t="s">
        <v>298</v>
      </c>
      <c r="M7" s="79" t="s">
        <v>299</v>
      </c>
    </row>
    <row r="8" s="2" customFormat="1" ht="18.75" spans="1:108">
      <c r="A8" s="81" t="str">
        <f>[2]GRATUITE_HEDO!A60</f>
        <v>S53</v>
      </c>
      <c r="B8" s="81">
        <f>[2]GRATUITE_HEDO!B60</f>
        <v>931</v>
      </c>
      <c r="C8" s="81">
        <f>[2]GRATUITE_HEDO!C60</f>
        <v>45</v>
      </c>
      <c r="D8" s="81">
        <f>[2]GRATUITE_HEDO!D60</f>
        <v>266</v>
      </c>
      <c r="E8" s="81">
        <f>[2]GRATUITE_HEDO!E60</f>
        <v>1</v>
      </c>
      <c r="F8" s="81">
        <f>[2]GRATUITE_HEDO!F60</f>
        <v>302</v>
      </c>
      <c r="G8" s="81">
        <f>[2]GRATUITE_HEDO!G60</f>
        <v>74</v>
      </c>
      <c r="H8" s="81">
        <f>[2]GRATUITE_HEDO!H60</f>
        <v>60</v>
      </c>
      <c r="I8" s="81">
        <f>[2]GRATUITE_HEDO!I60</f>
        <v>18</v>
      </c>
      <c r="J8" s="81">
        <f>[2]GRATUITE_HEDO!J60</f>
        <v>8</v>
      </c>
      <c r="K8" s="81">
        <f>[2]GRATUITE_HEDO!K60</f>
        <v>6</v>
      </c>
      <c r="L8" s="81">
        <f>[2]GRATUITE_HEDO!L60</f>
        <v>4</v>
      </c>
      <c r="M8" s="81">
        <f>[2]GRATUITE_HEDO!M60</f>
        <v>33723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 s="66"/>
      <c r="CR8" s="66"/>
      <c r="CS8" s="66"/>
      <c r="CT8" s="67"/>
      <c r="CU8" s="67"/>
      <c r="CV8" s="67"/>
      <c r="CW8" s="67"/>
      <c r="CX8" s="67"/>
      <c r="CY8" s="67"/>
    </row>
    <row r="9" ht="16.5" spans="1:108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 ht="17.25" spans="1:108">
      <c r="A10" s="82"/>
      <c r="B10" s="83"/>
      <c r="C10" s="83"/>
      <c r="D10" s="83"/>
      <c r="E10" s="83"/>
      <c r="F10" s="83"/>
      <c r="G10" s="83"/>
      <c r="H10" s="83"/>
      <c r="I10" s="83"/>
      <c r="J10" s="82"/>
      <c r="K10" s="82"/>
      <c r="L10" s="82"/>
      <c r="M10" s="82"/>
      <c r="N10" s="82"/>
      <c r="O10" s="82"/>
      <c r="P10" s="82"/>
      <c r="Q10" s="82"/>
      <c r="R10" s="82"/>
    </row>
    <row r="11" ht="16.5" customHeight="1" spans="1:108">
      <c r="B11" s="84" t="s">
        <v>300</v>
      </c>
      <c r="C11" s="85" t="s">
        <v>81</v>
      </c>
      <c r="D11" s="85"/>
      <c r="E11" s="85"/>
      <c r="F11" s="86" t="s">
        <v>301</v>
      </c>
      <c r="G11" s="87"/>
      <c r="H11" s="88" t="s">
        <v>81</v>
      </c>
      <c r="I11" s="89" t="s">
        <v>302</v>
      </c>
    </row>
    <row r="12" customHeight="1" spans="1:108">
      <c r="B12" s="90"/>
      <c r="C12" s="91" t="s">
        <v>303</v>
      </c>
      <c r="D12" s="91"/>
      <c r="E12" s="91" t="s">
        <v>261</v>
      </c>
      <c r="F12" s="91" t="s">
        <v>303</v>
      </c>
      <c r="G12" s="91"/>
      <c r="H12" s="91" t="s">
        <v>261</v>
      </c>
      <c r="I12" s="92"/>
    </row>
    <row r="13" ht="16.5" customHeight="1" spans="1:108">
      <c r="B13" s="93" t="s">
        <v>25</v>
      </c>
      <c r="C13" s="94">
        <f>$AN$3</f>
        <v>0</v>
      </c>
      <c r="D13" s="94"/>
      <c r="E13" s="94">
        <f>$AO$3</f>
        <v>0</v>
      </c>
      <c r="F13" s="95">
        <f>'[2]SYNTH TLOH 2024'!$AN$56</f>
        <v>0</v>
      </c>
      <c r="G13" s="96"/>
      <c r="H13" s="94">
        <f>'[2]SYNTH TLOH 2024'!$AO$56</f>
        <v>0</v>
      </c>
      <c r="I13" s="97"/>
      <c r="K13" s="98" t="s">
        <v>304</v>
      </c>
      <c r="L13" s="99" t="s">
        <v>305</v>
      </c>
      <c r="M13" s="99" t="s">
        <v>306</v>
      </c>
      <c r="N13" s="99" t="s">
        <v>307</v>
      </c>
      <c r="O13" s="99" t="s">
        <v>308</v>
      </c>
      <c r="P13" s="100" t="s">
        <v>309</v>
      </c>
    </row>
    <row r="14" ht="16.5" customHeight="1" spans="1:108">
      <c r="B14" s="93" t="s">
        <v>11</v>
      </c>
      <c r="C14" s="94">
        <f>$H$3</f>
        <v>0</v>
      </c>
      <c r="D14" s="94"/>
      <c r="E14" s="94">
        <f>$I$3</f>
        <v>0</v>
      </c>
      <c r="F14" s="94">
        <f>'[2]SYNTH TLOH 2024'!$H$56</f>
        <v>0</v>
      </c>
      <c r="G14" s="94"/>
      <c r="H14" s="94">
        <f>'[2]SYNTH TLOH 2024'!$I$56</f>
        <v>0</v>
      </c>
      <c r="I14" s="97"/>
      <c r="K14" s="101" t="s">
        <v>310</v>
      </c>
      <c r="L14" s="102">
        <v>12</v>
      </c>
      <c r="M14" s="102">
        <v>12</v>
      </c>
      <c r="N14" s="102">
        <v>12</v>
      </c>
      <c r="O14" s="103">
        <f>M14/L14</f>
        <v>1</v>
      </c>
      <c r="P14" s="104">
        <f>N14/L14</f>
        <v>1</v>
      </c>
    </row>
    <row r="15" ht="15.75" customHeight="1" spans="1:108">
      <c r="B15" s="105" t="s">
        <v>20</v>
      </c>
      <c r="C15" s="106" t="s">
        <v>311</v>
      </c>
      <c r="D15" s="94">
        <v>26</v>
      </c>
      <c r="E15" s="94">
        <f>$AD$3</f>
        <v>0</v>
      </c>
      <c r="F15" s="106" t="s">
        <v>311</v>
      </c>
      <c r="G15" s="94">
        <v>45</v>
      </c>
      <c r="H15" s="107">
        <f>'[2]SYNTH TLOH 2024'!$AD$56</f>
        <v>0</v>
      </c>
      <c r="I15" s="108"/>
      <c r="K15" s="101" t="s">
        <v>312</v>
      </c>
      <c r="L15" s="102">
        <v>60</v>
      </c>
      <c r="M15" s="102">
        <v>41</v>
      </c>
      <c r="N15" s="102">
        <v>41</v>
      </c>
      <c r="O15" s="103">
        <f>M15/L15</f>
        <v>0.683333333333333</v>
      </c>
      <c r="P15" s="104">
        <f>N15/L15</f>
        <v>0.683333333333333</v>
      </c>
    </row>
    <row r="16" ht="15.75" customHeight="1" spans="1:108">
      <c r="B16" s="105"/>
      <c r="C16" s="106" t="s">
        <v>268</v>
      </c>
      <c r="D16" s="94">
        <v>9</v>
      </c>
      <c r="E16" s="94"/>
      <c r="F16" s="106" t="s">
        <v>268</v>
      </c>
      <c r="G16" s="94">
        <v>16</v>
      </c>
      <c r="H16" s="109"/>
      <c r="I16" s="110"/>
      <c r="K16" s="101" t="s">
        <v>313</v>
      </c>
      <c r="L16" s="102">
        <v>32</v>
      </c>
      <c r="M16" s="102">
        <v>21</v>
      </c>
      <c r="N16" s="102">
        <v>21</v>
      </c>
      <c r="O16" s="103">
        <f>M16/L16</f>
        <v>0.65625</v>
      </c>
      <c r="P16" s="104">
        <f>N16/L16</f>
        <v>0.65625</v>
      </c>
    </row>
    <row r="17" ht="16.5" customHeight="1" spans="2:16">
      <c r="B17" s="105"/>
      <c r="C17" s="106" t="s">
        <v>269</v>
      </c>
      <c r="D17" s="94">
        <v>5</v>
      </c>
      <c r="E17" s="94"/>
      <c r="F17" s="106" t="s">
        <v>269</v>
      </c>
      <c r="G17" s="94">
        <v>9</v>
      </c>
      <c r="H17" s="111"/>
      <c r="I17" s="112"/>
      <c r="K17" s="113" t="s">
        <v>314</v>
      </c>
      <c r="L17" s="114">
        <f>SUM(L14:L16)</f>
        <v>104</v>
      </c>
      <c r="M17" s="114">
        <f t="shared" ref="M17:N17" si="0">SUM(M14:M16)</f>
        <v>74</v>
      </c>
      <c r="N17" s="114">
        <f t="shared" si="0"/>
        <v>74</v>
      </c>
      <c r="O17" s="115">
        <f>M17/L17</f>
        <v>0.711538461538462</v>
      </c>
      <c r="P17" s="116">
        <f>N17/L17</f>
        <v>0.711538461538462</v>
      </c>
    </row>
    <row r="18" ht="16.5" customHeight="1" spans="2:16">
      <c r="B18" s="93" t="s">
        <v>315</v>
      </c>
      <c r="C18" s="94">
        <f>$F$3</f>
        <v>0</v>
      </c>
      <c r="D18" s="94"/>
      <c r="E18" s="94">
        <f>$G$3</f>
        <v>0</v>
      </c>
      <c r="F18" s="94">
        <v>0</v>
      </c>
      <c r="G18" s="94"/>
      <c r="H18" s="94">
        <f>'[2]SYNTH TLOH 2024'!$G$56</f>
        <v>0</v>
      </c>
      <c r="I18" s="97"/>
    </row>
    <row r="19" ht="16.5" customHeight="1" spans="2:16">
      <c r="B19" s="93" t="s">
        <v>316</v>
      </c>
      <c r="C19" s="94">
        <f>$J$3</f>
        <v>0</v>
      </c>
      <c r="D19" s="94"/>
      <c r="E19" s="94">
        <f>$K$3</f>
        <v>0</v>
      </c>
      <c r="F19" s="94">
        <v>1</v>
      </c>
      <c r="G19" s="94"/>
      <c r="H19" s="94">
        <f>'[2]SYNTH TLOH 2024'!$K$56</f>
        <v>0</v>
      </c>
      <c r="I19" s="97"/>
    </row>
    <row r="20" ht="16.5" customHeight="1" spans="2:16">
      <c r="B20" s="93" t="s">
        <v>26</v>
      </c>
      <c r="C20" s="94">
        <f>$AP$3</f>
        <v>0</v>
      </c>
      <c r="D20" s="94"/>
      <c r="E20" s="94">
        <f>$AQ$3</f>
        <v>0</v>
      </c>
      <c r="F20" s="94">
        <f>'[2]SYNTH TLOH 2024'!$AP$56</f>
        <v>0</v>
      </c>
      <c r="G20" s="94"/>
      <c r="H20" s="94">
        <f>'[2]SYNTH TLOH 2024'!$AQ$56</f>
        <v>0</v>
      </c>
      <c r="I20" s="97"/>
    </row>
    <row r="21" ht="16.5" customHeight="1" spans="2:16">
      <c r="B21" s="93" t="s">
        <v>8</v>
      </c>
      <c r="C21" s="117">
        <f>$B$3</f>
        <v>0</v>
      </c>
      <c r="D21" s="117"/>
      <c r="E21" s="117">
        <f>$C$3</f>
        <v>0</v>
      </c>
      <c r="F21" s="94">
        <f>'[2]SYNTH TLOH 2024'!$B$56</f>
        <v>0</v>
      </c>
      <c r="G21" s="94"/>
      <c r="H21" s="94">
        <f>'[2]SYNTH TLOH 2024'!$C$56</f>
        <v>0</v>
      </c>
      <c r="I21" s="97"/>
    </row>
    <row r="22" ht="16.5" customHeight="1" spans="2:16">
      <c r="B22" s="93" t="s">
        <v>27</v>
      </c>
      <c r="C22" s="94">
        <f>$AR$3</f>
        <v>0</v>
      </c>
      <c r="D22" s="94"/>
      <c r="E22" s="94">
        <f>$AS$3</f>
        <v>0</v>
      </c>
      <c r="F22" s="94">
        <f>'[2]SYNTH TLOH 2024'!$AR$56</f>
        <v>0</v>
      </c>
      <c r="G22" s="94"/>
      <c r="H22" s="94">
        <f>'[2]SYNTH TLOH 2024'!$AS$56</f>
        <v>0</v>
      </c>
      <c r="I22" s="97"/>
    </row>
    <row r="23" ht="16.5" customHeight="1" spans="2:16">
      <c r="B23" s="93" t="s">
        <v>28</v>
      </c>
      <c r="C23" s="94">
        <f>$AT$3</f>
        <v>0</v>
      </c>
      <c r="D23" s="94"/>
      <c r="E23" s="94">
        <f>$AU$3</f>
        <v>0</v>
      </c>
      <c r="F23" s="94">
        <f>'[2]SYNTH TLOH 2024'!$AT$56</f>
        <v>0</v>
      </c>
      <c r="G23" s="94"/>
      <c r="H23" s="94">
        <f>'[2]SYNTH TLOH 2024'!$AU$56</f>
        <v>0</v>
      </c>
      <c r="I23" s="97"/>
    </row>
    <row r="24" ht="16.5" customHeight="1" spans="2:16">
      <c r="B24" s="93" t="s">
        <v>29</v>
      </c>
      <c r="C24" s="94">
        <f>$AV$3</f>
        <v>0</v>
      </c>
      <c r="D24" s="94"/>
      <c r="E24" s="94">
        <f>$AW$3</f>
        <v>0</v>
      </c>
      <c r="F24" s="94">
        <f>'[2]SYNTH TLOH 2024'!$AV$56</f>
        <v>0</v>
      </c>
      <c r="G24" s="94"/>
      <c r="H24" s="94">
        <f>'[2]SYNTH TLOH 2024'!$AW$56</f>
        <v>0</v>
      </c>
      <c r="I24" s="97"/>
    </row>
    <row r="25" ht="16.5" customHeight="1" spans="2:16">
      <c r="B25" s="93" t="s">
        <v>30</v>
      </c>
      <c r="C25" s="94">
        <f>$AX$3</f>
        <v>0</v>
      </c>
      <c r="D25" s="94"/>
      <c r="E25" s="94">
        <f>$AY$3</f>
        <v>0</v>
      </c>
      <c r="F25" s="94">
        <f>'[2]SYNTH TLOH 2024'!$AX$56</f>
        <v>0</v>
      </c>
      <c r="G25" s="94"/>
      <c r="H25" s="94">
        <f>'[2]SYNTH TLOH 2024'!$AY$56</f>
        <v>0</v>
      </c>
      <c r="I25" s="97"/>
    </row>
    <row r="26" ht="16.5" customHeight="1" spans="2:16">
      <c r="B26" s="93" t="s">
        <v>9</v>
      </c>
      <c r="C26" s="94">
        <f>$D$3</f>
        <v>0</v>
      </c>
      <c r="D26" s="94"/>
      <c r="E26" s="94">
        <f>$E$3</f>
        <v>0</v>
      </c>
      <c r="F26" s="94">
        <v>0</v>
      </c>
      <c r="G26" s="94"/>
      <c r="H26" s="94">
        <f>'[2]SYNTH TLOH 2024'!$E$56</f>
        <v>0</v>
      </c>
      <c r="I26" s="97"/>
    </row>
    <row r="27" ht="16.5" customHeight="1" spans="2:16">
      <c r="B27" s="93" t="s">
        <v>317</v>
      </c>
      <c r="C27" s="118">
        <f>$L$3</f>
        <v>0</v>
      </c>
      <c r="D27" s="118"/>
      <c r="E27" s="94">
        <f>$M$3</f>
        <v>0</v>
      </c>
      <c r="F27" s="94">
        <v>0</v>
      </c>
      <c r="G27" s="94"/>
      <c r="H27" s="94">
        <f>'[2]SYNTH TLOH 2024'!$M$56</f>
        <v>0</v>
      </c>
      <c r="I27" s="97"/>
    </row>
    <row r="28" ht="16.5" customHeight="1" spans="2:16">
      <c r="B28" s="93" t="s">
        <v>318</v>
      </c>
      <c r="C28" s="94">
        <f>$N$3</f>
        <v>0</v>
      </c>
      <c r="D28" s="94"/>
      <c r="E28" s="94">
        <f>$O$3</f>
        <v>0</v>
      </c>
      <c r="F28" s="94">
        <f>'[2]SYNTH TLOH 2024'!$N$56</f>
        <v>0</v>
      </c>
      <c r="G28" s="94"/>
      <c r="H28" s="94">
        <f>'[2]SYNTH TLOH 2024'!$O$56</f>
        <v>0</v>
      </c>
      <c r="I28" s="97"/>
    </row>
    <row r="29" customHeight="1" spans="2:16">
      <c r="B29" s="93" t="s">
        <v>250</v>
      </c>
      <c r="C29" s="94" t="s">
        <v>49</v>
      </c>
      <c r="D29" s="94"/>
      <c r="E29" s="94" t="s">
        <v>50</v>
      </c>
      <c r="F29" s="94" t="s">
        <v>49</v>
      </c>
      <c r="G29" s="94"/>
      <c r="H29" s="94" t="s">
        <v>50</v>
      </c>
      <c r="I29" s="97"/>
    </row>
    <row r="30" ht="15.75" customHeight="1" spans="2:16">
      <c r="B30" s="93"/>
      <c r="C30" s="94">
        <f>$P$3</f>
        <v>0</v>
      </c>
      <c r="D30" s="94"/>
      <c r="E30" s="94">
        <f>$Q$3</f>
        <v>0</v>
      </c>
      <c r="F30" s="95">
        <f>'[2]SYNTH TLOH 2024'!$P$56</f>
        <v>0</v>
      </c>
      <c r="G30" s="96"/>
      <c r="H30" s="94">
        <f>'[2]SYNTH TLOH 2024'!$Q$56</f>
        <v>0</v>
      </c>
      <c r="I30" s="97"/>
    </row>
    <row r="31" ht="16.5" customHeight="1" spans="2:16">
      <c r="B31" s="93" t="s">
        <v>319</v>
      </c>
      <c r="C31" s="118">
        <f>$R$3</f>
        <v>0</v>
      </c>
      <c r="D31" s="118"/>
      <c r="E31" s="119"/>
      <c r="F31" s="94">
        <v>0</v>
      </c>
      <c r="G31" s="94"/>
      <c r="H31" s="119"/>
      <c r="I31" s="120"/>
    </row>
    <row r="32" spans="2:16">
      <c r="B32" s="93" t="s">
        <v>320</v>
      </c>
      <c r="C32" s="118">
        <f>$S$3</f>
        <v>0</v>
      </c>
      <c r="D32" s="118"/>
      <c r="E32" s="118">
        <f>$T$3</f>
        <v>0</v>
      </c>
      <c r="F32" s="94">
        <v>0</v>
      </c>
      <c r="G32" s="94"/>
      <c r="H32" s="94">
        <f>'[2]SYNTH TLOH 2024'!$T$56</f>
        <v>0</v>
      </c>
      <c r="I32" s="97"/>
    </row>
    <row r="33" ht="15.75" customHeight="1" spans="2:9">
      <c r="B33" s="93" t="s">
        <v>321</v>
      </c>
      <c r="C33" s="106" t="s">
        <v>311</v>
      </c>
      <c r="D33" s="94">
        <f>$AK$3</f>
        <v>0</v>
      </c>
      <c r="E33" s="94">
        <f>$AM$3</f>
        <v>0</v>
      </c>
      <c r="F33" s="106" t="s">
        <v>311</v>
      </c>
      <c r="G33" s="94">
        <v>0</v>
      </c>
      <c r="H33" s="94">
        <f>'[2]SYNTH TLOH 2024'!$AM$56</f>
        <v>0</v>
      </c>
      <c r="I33" s="97"/>
    </row>
    <row r="34" ht="15.75" customHeight="1" spans="2:9">
      <c r="B34" s="93"/>
      <c r="C34" s="106" t="s">
        <v>322</v>
      </c>
      <c r="D34" s="94">
        <f>$AL$3</f>
        <v>0</v>
      </c>
      <c r="E34" s="94"/>
      <c r="F34" s="106" t="s">
        <v>322</v>
      </c>
      <c r="G34" s="94">
        <v>0</v>
      </c>
      <c r="H34" s="94"/>
      <c r="I34" s="97"/>
    </row>
    <row r="35" ht="16.5" customHeight="1" spans="2:9">
      <c r="B35" s="93" t="s">
        <v>323</v>
      </c>
      <c r="C35" s="94">
        <v>827</v>
      </c>
      <c r="D35" s="94"/>
      <c r="E35" s="119"/>
      <c r="F35" s="94">
        <v>1618</v>
      </c>
      <c r="G35" s="94"/>
      <c r="H35" s="119"/>
      <c r="I35" s="120"/>
    </row>
    <row r="36" ht="16.5" customHeight="1" spans="2:9">
      <c r="B36" s="93" t="s">
        <v>324</v>
      </c>
      <c r="C36" s="94">
        <v>205</v>
      </c>
      <c r="D36" s="94"/>
      <c r="E36" s="119"/>
      <c r="F36" s="94">
        <v>448</v>
      </c>
      <c r="G36" s="94"/>
      <c r="H36" s="119"/>
      <c r="I36" s="120"/>
    </row>
    <row r="37" ht="16.5" customHeight="1" spans="2:9">
      <c r="B37" s="93" t="s">
        <v>325</v>
      </c>
      <c r="C37" s="94">
        <v>46</v>
      </c>
      <c r="D37" s="94"/>
      <c r="E37" s="94">
        <f>$Y$3</f>
        <v>0</v>
      </c>
      <c r="F37" s="94">
        <v>97</v>
      </c>
      <c r="G37" s="94"/>
      <c r="H37" s="94">
        <f>'[2]SYNTH TLOH 2024'!$Y$56</f>
        <v>0</v>
      </c>
      <c r="I37" s="97"/>
    </row>
    <row r="38" ht="16.5" customHeight="1" spans="2:9">
      <c r="B38" s="93" t="s">
        <v>326</v>
      </c>
      <c r="C38" s="94">
        <v>1</v>
      </c>
      <c r="D38" s="94"/>
      <c r="E38" s="94">
        <f>$Z$3</f>
        <v>0</v>
      </c>
      <c r="F38" s="94">
        <v>4</v>
      </c>
      <c r="G38" s="94"/>
      <c r="H38" s="94">
        <f>'[2]SYNTH TLOH 2024'!$Z$56</f>
        <v>0</v>
      </c>
      <c r="I38" s="97"/>
    </row>
    <row r="39" ht="16.5" customHeight="1" spans="2:9">
      <c r="B39" s="93" t="s">
        <v>327</v>
      </c>
      <c r="C39" s="121">
        <v>843</v>
      </c>
      <c r="D39" s="121"/>
      <c r="E39" s="119"/>
      <c r="F39" s="94">
        <v>1774</v>
      </c>
      <c r="G39" s="94"/>
      <c r="H39" s="119"/>
      <c r="I39" s="120"/>
    </row>
    <row r="40" ht="16.5" customHeight="1" spans="2:9">
      <c r="B40" s="93" t="s">
        <v>328</v>
      </c>
      <c r="C40" s="121">
        <v>52</v>
      </c>
      <c r="D40" s="121"/>
      <c r="E40" s="119"/>
      <c r="F40" s="94">
        <v>97</v>
      </c>
      <c r="G40" s="94"/>
      <c r="H40" s="119"/>
      <c r="I40" s="120"/>
    </row>
    <row r="41" ht="16.5" customHeight="1" spans="2:9">
      <c r="B41" s="93" t="s">
        <v>329</v>
      </c>
      <c r="C41" s="121">
        <v>324</v>
      </c>
      <c r="D41" s="121"/>
      <c r="E41" s="119"/>
      <c r="F41" s="94">
        <v>590</v>
      </c>
      <c r="G41" s="94"/>
      <c r="H41" s="119"/>
      <c r="I41" s="120"/>
    </row>
    <row r="42" ht="16.5" customHeight="1" spans="2:9">
      <c r="B42" s="93" t="s">
        <v>330</v>
      </c>
      <c r="C42" s="121">
        <f>$E$8</f>
        <v>1</v>
      </c>
      <c r="D42" s="121"/>
      <c r="E42" s="119"/>
      <c r="F42" s="119"/>
      <c r="G42" s="119"/>
      <c r="H42" s="119"/>
      <c r="I42" s="120"/>
    </row>
    <row r="43" ht="16.5" customHeight="1" spans="2:9">
      <c r="B43" s="93" t="s">
        <v>292</v>
      </c>
      <c r="C43" s="121">
        <v>535</v>
      </c>
      <c r="D43" s="121"/>
      <c r="E43" s="119"/>
      <c r="F43" s="94">
        <v>837</v>
      </c>
      <c r="G43" s="94"/>
      <c r="H43" s="119"/>
      <c r="I43" s="120"/>
    </row>
    <row r="44" ht="16.5" customHeight="1" spans="2:9">
      <c r="B44" s="93" t="s">
        <v>331</v>
      </c>
      <c r="C44" s="121">
        <v>138</v>
      </c>
      <c r="D44" s="121"/>
      <c r="E44" s="119"/>
      <c r="F44" s="94">
        <v>212</v>
      </c>
      <c r="G44" s="94"/>
      <c r="H44" s="119"/>
      <c r="I44" s="120"/>
    </row>
    <row r="45" ht="16.5" customHeight="1" spans="2:9">
      <c r="B45" s="93" t="s">
        <v>332</v>
      </c>
      <c r="C45" s="121">
        <v>120</v>
      </c>
      <c r="D45" s="121"/>
      <c r="E45" s="119"/>
      <c r="F45" s="94">
        <v>180</v>
      </c>
      <c r="G45" s="94"/>
      <c r="H45" s="119"/>
      <c r="I45" s="120"/>
    </row>
    <row r="46" ht="16.5" customHeight="1" spans="2:9">
      <c r="B46" s="93" t="s">
        <v>333</v>
      </c>
      <c r="C46" s="121">
        <v>12</v>
      </c>
      <c r="D46" s="121"/>
      <c r="E46" s="119"/>
      <c r="F46" s="94">
        <v>28</v>
      </c>
      <c r="G46" s="94"/>
      <c r="H46" s="119"/>
      <c r="I46" s="120"/>
    </row>
    <row r="47" ht="16.5" customHeight="1" spans="2:9">
      <c r="B47" s="93" t="s">
        <v>296</v>
      </c>
      <c r="C47" s="121">
        <v>6</v>
      </c>
      <c r="D47" s="121"/>
      <c r="E47" s="119"/>
      <c r="F47" s="94">
        <v>14</v>
      </c>
      <c r="G47" s="94"/>
      <c r="H47" s="119"/>
      <c r="I47" s="120"/>
    </row>
    <row r="48" ht="16.5" customHeight="1" spans="2:9">
      <c r="B48" s="93" t="s">
        <v>297</v>
      </c>
      <c r="C48" s="121">
        <v>8</v>
      </c>
      <c r="D48" s="121"/>
      <c r="E48" s="119"/>
      <c r="F48" s="94">
        <v>14</v>
      </c>
      <c r="G48" s="94"/>
      <c r="H48" s="119"/>
      <c r="I48" s="120"/>
    </row>
    <row r="49" spans="2:9">
      <c r="B49" s="93" t="s">
        <v>298</v>
      </c>
      <c r="C49" s="121">
        <f>$L$8</f>
        <v>4</v>
      </c>
      <c r="D49" s="121"/>
      <c r="E49" s="119"/>
      <c r="F49" s="94">
        <v>8</v>
      </c>
      <c r="G49" s="94"/>
      <c r="H49" s="119"/>
      <c r="I49" s="120"/>
    </row>
    <row r="50" spans="2:9">
      <c r="B50" s="122" t="s">
        <v>334</v>
      </c>
      <c r="C50" s="94" t="s">
        <v>335</v>
      </c>
      <c r="D50" s="94"/>
      <c r="E50" s="123" t="s">
        <v>336</v>
      </c>
      <c r="F50" s="94" t="s">
        <v>335</v>
      </c>
      <c r="G50" s="94"/>
      <c r="H50" s="94" t="s">
        <v>336</v>
      </c>
      <c r="I50" s="97"/>
    </row>
    <row r="51" spans="2:9">
      <c r="B51" s="93" t="s">
        <v>257</v>
      </c>
      <c r="C51" s="94">
        <f>$AE$3</f>
        <v>0</v>
      </c>
      <c r="D51" s="94"/>
      <c r="E51" s="94">
        <f>$AF$3</f>
        <v>0</v>
      </c>
      <c r="F51" s="94">
        <f>'[2]SYNTH TLOH 2024'!$AE$56</f>
        <v>0</v>
      </c>
      <c r="G51" s="94"/>
      <c r="H51" s="94">
        <f>'[2]SYNTH TLOH 2024'!$AF$56</f>
        <v>0</v>
      </c>
      <c r="I51" s="97"/>
    </row>
    <row r="52" spans="2:9">
      <c r="B52" s="93" t="s">
        <v>337</v>
      </c>
      <c r="C52" s="94">
        <f>$AI$3</f>
        <v>0</v>
      </c>
      <c r="D52" s="94"/>
      <c r="E52" s="94">
        <f>$AJ$3</f>
        <v>0</v>
      </c>
      <c r="F52" s="94">
        <f>'[2]SYNTH TLOH 2024'!$AI$56</f>
        <v>0</v>
      </c>
      <c r="G52" s="94"/>
      <c r="H52" s="94">
        <f>'[2]SYNTH TLOH 2024'!$AJ$56</f>
        <v>0</v>
      </c>
      <c r="I52" s="97"/>
    </row>
    <row r="53" spans="2:9">
      <c r="B53" s="93" t="s">
        <v>258</v>
      </c>
      <c r="C53" s="94">
        <f>$AG$3</f>
        <v>0</v>
      </c>
      <c r="D53" s="94"/>
      <c r="E53" s="94">
        <f>$AH$3</f>
        <v>0</v>
      </c>
      <c r="F53" s="94">
        <f>'[2]SYNTH TLOH 2024'!$AG$56</f>
        <v>0</v>
      </c>
      <c r="G53" s="94"/>
      <c r="H53" s="94">
        <f>'[2]SYNTH TLOH 2024'!$AH$56</f>
        <v>0</v>
      </c>
      <c r="I53" s="97"/>
    </row>
    <row r="54" spans="2:9">
      <c r="B54" s="93" t="s">
        <v>338</v>
      </c>
      <c r="C54" s="94">
        <v>0</v>
      </c>
      <c r="D54" s="94"/>
      <c r="E54" s="94">
        <v>0</v>
      </c>
      <c r="F54" s="94">
        <v>0</v>
      </c>
      <c r="G54" s="94"/>
      <c r="H54" s="94"/>
      <c r="I54" s="97"/>
    </row>
    <row r="55" spans="2:9">
      <c r="B55" s="93" t="s">
        <v>339</v>
      </c>
      <c r="C55" s="94">
        <v>4</v>
      </c>
      <c r="D55" s="94"/>
      <c r="E55" s="94">
        <v>0</v>
      </c>
      <c r="F55" s="94">
        <v>9</v>
      </c>
      <c r="G55" s="94"/>
      <c r="H55" s="94">
        <v>0</v>
      </c>
      <c r="I55" s="97"/>
    </row>
    <row r="56" ht="15.75" spans="2:9">
      <c r="B56" s="124" t="s">
        <v>340</v>
      </c>
      <c r="C56" s="125">
        <v>4096</v>
      </c>
      <c r="D56" s="125"/>
      <c r="E56" s="126"/>
      <c r="F56" s="125">
        <v>8195</v>
      </c>
      <c r="G56" s="125"/>
      <c r="H56" s="126"/>
      <c r="I56" s="127"/>
    </row>
    <row r="57" ht="15.75"/>
  </sheetData>
  <mergeCells count="133">
    <mergeCell ref="B1:C1"/>
    <mergeCell ref="D1:E1"/>
    <mergeCell ref="F1:G1"/>
    <mergeCell ref="H1:I1"/>
    <mergeCell ref="J1:K1"/>
    <mergeCell ref="L1:M1"/>
    <mergeCell ref="N1:O1"/>
    <mergeCell ref="P1:Q1"/>
    <mergeCell ref="S1:T1"/>
    <mergeCell ref="U1:V1"/>
    <mergeCell ref="W1:Z1"/>
    <mergeCell ref="AA1:AD1"/>
    <mergeCell ref="AE1:AF1"/>
    <mergeCell ref="AG1:AH1"/>
    <mergeCell ref="AI1:AJ1"/>
    <mergeCell ref="AK1:AM1"/>
    <mergeCell ref="AN1:AO1"/>
    <mergeCell ref="AP1:AQ1"/>
    <mergeCell ref="AR1:AS1"/>
    <mergeCell ref="AT1:AU1"/>
    <mergeCell ref="AV1:AW1"/>
    <mergeCell ref="AX1:AY1"/>
    <mergeCell ref="AZ1:BB1"/>
    <mergeCell ref="BC1:BE1"/>
    <mergeCell ref="BG1:CG1"/>
    <mergeCell ref="CH1:CK1"/>
    <mergeCell ref="CL1:CM1"/>
    <mergeCell ref="CN1:CP1"/>
    <mergeCell ref="CQ1:CR1"/>
    <mergeCell ref="BH2:BO2"/>
    <mergeCell ref="BP2:BW2"/>
    <mergeCell ref="BX2:CG2"/>
    <mergeCell ref="CJ2:CK2"/>
    <mergeCell ref="B5:D5"/>
    <mergeCell ref="C11:E11"/>
    <mergeCell ref="F11:G11"/>
    <mergeCell ref="C12:D12"/>
    <mergeCell ref="F12:G12"/>
    <mergeCell ref="C13:D13"/>
    <mergeCell ref="F13:G13"/>
    <mergeCell ref="C14:D14"/>
    <mergeCell ref="F14:G14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A1:A2"/>
    <mergeCell ref="A5:A7"/>
    <mergeCell ref="B6:B7"/>
    <mergeCell ref="B11:B12"/>
    <mergeCell ref="B15:B17"/>
    <mergeCell ref="B29:B30"/>
    <mergeCell ref="B33:B34"/>
    <mergeCell ref="C6:C7"/>
    <mergeCell ref="D6:D7"/>
    <mergeCell ref="E15:E17"/>
    <mergeCell ref="E33:E34"/>
    <mergeCell ref="H15:H17"/>
    <mergeCell ref="H33:H34"/>
    <mergeCell ref="I11:I12"/>
    <mergeCell ref="I15:I17"/>
    <mergeCell ref="I33:I34"/>
    <mergeCell ref="BF1:BF2"/>
  </mergeCells>
  <conditionalFormatting sqref="G15:I15">
    <cfRule type="cellIs" dxfId="2" priority="8" operator="greaterThan">
      <formula>0</formula>
    </cfRule>
  </conditionalFormatting>
  <conditionalFormatting sqref="E56">
    <cfRule type="cellIs" dxfId="2" priority="1" operator="greaterThan">
      <formula>0</formula>
    </cfRule>
  </conditionalFormatting>
  <conditionalFormatting sqref="H56">
    <cfRule type="cellIs" dxfId="2" priority="10" operator="greaterThan">
      <formula>0</formula>
    </cfRule>
  </conditionalFormatting>
  <conditionalFormatting sqref="D16:D17">
    <cfRule type="cellIs" dxfId="2" priority="12" operator="greaterThan">
      <formula>0</formula>
    </cfRule>
  </conditionalFormatting>
  <conditionalFormatting sqref="E37:E38">
    <cfRule type="cellIs" dxfId="2" priority="13" operator="greaterThan">
      <formula>0</formula>
    </cfRule>
  </conditionalFormatting>
  <conditionalFormatting sqref="G16:G17">
    <cfRule type="cellIs" dxfId="2" priority="17" operator="greaterThan">
      <formula>0</formula>
    </cfRule>
  </conditionalFormatting>
  <conditionalFormatting sqref="I30:I34">
    <cfRule type="cellIs" dxfId="2" priority="7" operator="greaterThan">
      <formula>0</formula>
    </cfRule>
  </conditionalFormatting>
  <conditionalFormatting sqref="I51:I56">
    <cfRule type="cellIs" dxfId="2" priority="4" operator="greaterThan">
      <formula>0</formula>
    </cfRule>
  </conditionalFormatting>
  <conditionalFormatting sqref="C13:I14">
    <cfRule type="cellIs" dxfId="2" priority="3" operator="greaterThan">
      <formula>0</formula>
    </cfRule>
  </conditionalFormatting>
  <conditionalFormatting sqref="C18:I28">
    <cfRule type="cellIs" dxfId="2" priority="9" operator="greaterThan">
      <formula>0</formula>
    </cfRule>
  </conditionalFormatting>
  <conditionalFormatting sqref="D33:E34">
    <cfRule type="cellIs" dxfId="2" priority="16" operator="greaterThan">
      <formula>0</formula>
    </cfRule>
  </conditionalFormatting>
  <conditionalFormatting sqref="G33:H34">
    <cfRule type="cellIs" dxfId="2" priority="15" operator="greaterThan">
      <formula>0</formula>
    </cfRule>
  </conditionalFormatting>
  <conditionalFormatting sqref="H37:I38">
    <cfRule type="cellIs" dxfId="2" priority="5" operator="greaterThan">
      <formula>0</formula>
    </cfRule>
  </conditionalFormatting>
  <conditionalFormatting sqref="C51:H55"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TLOH_2025_SYNTHESE</vt:lpstr>
      <vt:lpstr>Base TLOH 2026</vt:lpstr>
      <vt:lpstr>CAHIER TLOH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P.AISSETA</dc:creator>
  <cp:lastModifiedBy>aisseta bande</cp:lastModifiedBy>
  <dcterms:created xsi:type="dcterms:W3CDTF">2022-08-22T22:03:00Z</dcterms:created>
  <cp:lastPrinted>2024-01-08T17:22:00Z</cp:lastPrinted>
  <dcterms:modified xsi:type="dcterms:W3CDTF">2026-06-08T14:32:39Z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665FBA2F0BE340B09D60742C6A71724F_13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