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o/apprentissage_R/git_repository/R-apprentissage-DSBMG/"/>
    </mc:Choice>
  </mc:AlternateContent>
  <xr:revisionPtr revIDLastSave="0" documentId="8_{DF105AAD-24D1-1849-82C9-D41E736C8655}" xr6:coauthVersionLast="47" xr6:coauthVersionMax="47" xr10:uidLastSave="{00000000-0000-0000-0000-000000000000}"/>
  <bookViews>
    <workbookView xWindow="0" yWindow="0" windowWidth="28800" windowHeight="18000" activeTab="2" xr2:uid="{210CA35C-0DE5-4F5D-A041-78B648F6C928}"/>
  </bookViews>
  <sheets>
    <sheet name="CV HPV_Janv_Avril26" sheetId="1" r:id="rId1"/>
    <sheet name="Data_R_triees (2)" sheetId="3" r:id="rId2"/>
    <sheet name="Data_R_trie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2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2" i="1"/>
  <c r="E2" i="1" s="1"/>
</calcChain>
</file>

<file path=xl/sharedStrings.xml><?xml version="1.0" encoding="utf-8"?>
<sst xmlns="http://schemas.openxmlformats.org/spreadsheetml/2006/main" count="165" uniqueCount="60">
  <si>
    <t>Formations sanitaires</t>
  </si>
  <si>
    <t>Filles de 9 ans vaccinées</t>
  </si>
  <si>
    <t>CM Komsilga</t>
  </si>
  <si>
    <t>CM Nagrin</t>
  </si>
  <si>
    <t>CM Tanghin Dassouri</t>
  </si>
  <si>
    <t>CMU Secteur 12 Ouagadougou</t>
  </si>
  <si>
    <t>CMU Secteur 14 Ouagadougou</t>
  </si>
  <si>
    <t>CMU Secteur 29 Ouagadougou</t>
  </si>
  <si>
    <t>CMU Zagtouli</t>
  </si>
  <si>
    <t>CSPS Bassemyam</t>
  </si>
  <si>
    <t>CSPS Bazoulé</t>
  </si>
  <si>
    <t>CSPS Boassa</t>
  </si>
  <si>
    <t>CSPS Boulsin</t>
  </si>
  <si>
    <t>CSPS Cissin 17</t>
  </si>
  <si>
    <t>CSPS Dayoubsi</t>
  </si>
  <si>
    <t>CSPS Doudoulma</t>
  </si>
  <si>
    <t>CSPS Googho</t>
  </si>
  <si>
    <t>CSPS Gueswende</t>
  </si>
  <si>
    <t>CSPS Kalzi</t>
  </si>
  <si>
    <t>CSPS Kienfangué</t>
  </si>
  <si>
    <t>CSPS Koudiéré</t>
  </si>
  <si>
    <t>CSPS Lao</t>
  </si>
  <si>
    <t>CSPS Lao 2</t>
  </si>
  <si>
    <t>CSPS Lougsi</t>
  </si>
  <si>
    <t>CSPS Oueguelga</t>
  </si>
  <si>
    <t>CSPS Pamnoghin</t>
  </si>
  <si>
    <t>CSPS Ponsmtenga</t>
  </si>
  <si>
    <t>CSPS Sabtoana</t>
  </si>
  <si>
    <t>CSPS Sandogo</t>
  </si>
  <si>
    <t>CSPS Sandogo 2</t>
  </si>
  <si>
    <t>CSPS Sané</t>
  </si>
  <si>
    <t>CSPS secteur 28</t>
  </si>
  <si>
    <t>CSPS Silmisin</t>
  </si>
  <si>
    <t>CSPS Tampoussoumdi</t>
  </si>
  <si>
    <t>CSPS Tampouy</t>
  </si>
  <si>
    <t>CSPS Tansega</t>
  </si>
  <si>
    <t>CSPS Tiguindalgué</t>
  </si>
  <si>
    <t>CSPS Tingandogo</t>
  </si>
  <si>
    <t>CSPS Tinsouka</t>
  </si>
  <si>
    <t>CSPS Tintilou Nord</t>
  </si>
  <si>
    <t>CSPS Tintilou Sud</t>
  </si>
  <si>
    <t>CSPS Vipalogho</t>
  </si>
  <si>
    <t>CSPS Yaoghin</t>
  </si>
  <si>
    <t>CSPS Yimdi</t>
  </si>
  <si>
    <t>CSPS Zambanega</t>
  </si>
  <si>
    <t>CSPS Zanguiguesse</t>
  </si>
  <si>
    <t>CSPS Zeguedessé</t>
  </si>
  <si>
    <t>CSPS Zekounga</t>
  </si>
  <si>
    <t>CSPS Zongo</t>
  </si>
  <si>
    <t>Dispensaire de Pissy 17</t>
  </si>
  <si>
    <t>Ds Boulmiougou</t>
  </si>
  <si>
    <t xml:space="preserve">Cible période  filles de 9 ans </t>
  </si>
  <si>
    <t>CV période en %</t>
  </si>
  <si>
    <t>couverure_annuelle</t>
  </si>
  <si>
    <t>cible_annuelle</t>
  </si>
  <si>
    <t>FS</t>
  </si>
  <si>
    <t>cible_periode</t>
  </si>
  <si>
    <t>vaccinees</t>
  </si>
  <si>
    <t>cv_periode_pct</t>
  </si>
  <si>
    <t>couverture_annuelle_pct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</si>
</sst>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name val="Times New Roman"/>
      <family val="1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2" fontId="1" fillId="3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0" fontId="5" fillId="6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48837A-253E-3042-957B-2AE7101B631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6a60bb7-f311-4488-a985-76ead5e9d9c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33EF-9AA4-4559-8009-ABCD17CF60FE}">
  <dimension ref="A1:F50"/>
  <sheetViews>
    <sheetView zoomScale="114" workbookViewId="0">
      <selection activeCell="F1" activeCellId="1" sqref="A1:A50 F1:F50"/>
    </sheetView>
  </sheetViews>
  <sheetFormatPr baseColWidth="10" defaultRowHeight="15" x14ac:dyDescent="0.2"/>
  <cols>
    <col min="1" max="1" width="32.83203125" style="2" bestFit="1" customWidth="1"/>
  </cols>
  <sheetData>
    <row r="1" spans="1:6" s="1" customFormat="1" ht="68" x14ac:dyDescent="0.2">
      <c r="A1" s="12" t="s">
        <v>0</v>
      </c>
      <c r="B1" s="11" t="s">
        <v>54</v>
      </c>
      <c r="C1" s="11" t="s">
        <v>51</v>
      </c>
      <c r="D1" s="11" t="s">
        <v>1</v>
      </c>
      <c r="E1" s="11" t="s">
        <v>52</v>
      </c>
      <c r="F1" s="11" t="s">
        <v>53</v>
      </c>
    </row>
    <row r="2" spans="1:6" ht="16" x14ac:dyDescent="0.2">
      <c r="A2" s="6" t="s">
        <v>2</v>
      </c>
      <c r="B2" s="3">
        <v>23.333333333333332</v>
      </c>
      <c r="C2" s="3">
        <f>B2/12*4</f>
        <v>7.7777777777777777</v>
      </c>
      <c r="D2" s="4">
        <v>1</v>
      </c>
      <c r="E2" s="15">
        <f>D2/C2*100</f>
        <v>12.857142857142859</v>
      </c>
      <c r="F2" s="5">
        <f>D2/B2*100</f>
        <v>4.2857142857142856</v>
      </c>
    </row>
    <row r="3" spans="1:6" ht="16" x14ac:dyDescent="0.2">
      <c r="A3" s="6" t="s">
        <v>3</v>
      </c>
      <c r="B3" s="3">
        <v>398.66666666666669</v>
      </c>
      <c r="C3" s="3">
        <f t="shared" ref="C3:C50" si="0">B3/12*4</f>
        <v>132.88888888888889</v>
      </c>
      <c r="D3" s="4">
        <v>56</v>
      </c>
      <c r="E3" s="15">
        <f t="shared" ref="E3:E50" si="1">D3/C3*100</f>
        <v>42.140468227424748</v>
      </c>
      <c r="F3" s="5">
        <f t="shared" ref="F3:F50" si="2">D3/B3*100</f>
        <v>14.046822742474916</v>
      </c>
    </row>
    <row r="4" spans="1:6" ht="16" x14ac:dyDescent="0.2">
      <c r="A4" s="6" t="s">
        <v>4</v>
      </c>
      <c r="B4" s="3">
        <v>53.333333333333336</v>
      </c>
      <c r="C4" s="3">
        <f t="shared" si="0"/>
        <v>17.777777777777779</v>
      </c>
      <c r="D4" s="4">
        <v>19</v>
      </c>
      <c r="E4" s="13">
        <f t="shared" si="1"/>
        <v>106.87499999999999</v>
      </c>
      <c r="F4" s="5">
        <f t="shared" si="2"/>
        <v>35.625</v>
      </c>
    </row>
    <row r="5" spans="1:6" ht="16" x14ac:dyDescent="0.2">
      <c r="A5" s="6" t="s">
        <v>5</v>
      </c>
      <c r="B5" s="3">
        <v>278.33333333333331</v>
      </c>
      <c r="C5" s="3">
        <f t="shared" si="0"/>
        <v>92.777777777777771</v>
      </c>
      <c r="D5" s="4">
        <v>1</v>
      </c>
      <c r="E5" s="16">
        <f t="shared" si="1"/>
        <v>1.0778443113772456</v>
      </c>
      <c r="F5" s="5">
        <f t="shared" si="2"/>
        <v>0.35928143712574856</v>
      </c>
    </row>
    <row r="6" spans="1:6" ht="16" x14ac:dyDescent="0.2">
      <c r="A6" s="6" t="s">
        <v>6</v>
      </c>
      <c r="B6" s="3">
        <v>468.33333333333331</v>
      </c>
      <c r="C6" s="3">
        <f t="shared" si="0"/>
        <v>156.11111111111111</v>
      </c>
      <c r="D6" s="4">
        <v>1</v>
      </c>
      <c r="E6" s="16">
        <f t="shared" si="1"/>
        <v>0.64056939501779364</v>
      </c>
      <c r="F6" s="5">
        <f t="shared" si="2"/>
        <v>0.21352313167259787</v>
      </c>
    </row>
    <row r="7" spans="1:6" ht="16" x14ac:dyDescent="0.2">
      <c r="A7" s="6" t="s">
        <v>7</v>
      </c>
      <c r="B7" s="3">
        <v>380.33333333333331</v>
      </c>
      <c r="C7" s="3">
        <f t="shared" si="0"/>
        <v>126.77777777777777</v>
      </c>
      <c r="D7" s="4">
        <v>10</v>
      </c>
      <c r="E7" s="16">
        <f t="shared" si="1"/>
        <v>7.8878177037686248</v>
      </c>
      <c r="F7" s="5">
        <f t="shared" si="2"/>
        <v>2.6292725679228748</v>
      </c>
    </row>
    <row r="8" spans="1:6" ht="16" x14ac:dyDescent="0.2">
      <c r="A8" s="6" t="s">
        <v>8</v>
      </c>
      <c r="B8" s="3">
        <v>356</v>
      </c>
      <c r="C8" s="3">
        <f t="shared" si="0"/>
        <v>118.66666666666667</v>
      </c>
      <c r="D8" s="4">
        <v>8</v>
      </c>
      <c r="E8" s="16">
        <f t="shared" si="1"/>
        <v>6.7415730337078648</v>
      </c>
      <c r="F8" s="5">
        <f t="shared" si="2"/>
        <v>2.2471910112359552</v>
      </c>
    </row>
    <row r="9" spans="1:6" ht="16" x14ac:dyDescent="0.2">
      <c r="A9" s="6" t="s">
        <v>9</v>
      </c>
      <c r="B9" s="3">
        <v>23</v>
      </c>
      <c r="C9" s="3">
        <f t="shared" si="0"/>
        <v>7.666666666666667</v>
      </c>
      <c r="D9" s="4">
        <v>1</v>
      </c>
      <c r="E9" s="16">
        <f t="shared" si="1"/>
        <v>13.043478260869565</v>
      </c>
      <c r="F9" s="5">
        <f t="shared" si="2"/>
        <v>4.3478260869565215</v>
      </c>
    </row>
    <row r="10" spans="1:6" ht="16" x14ac:dyDescent="0.2">
      <c r="A10" s="6" t="s">
        <v>10</v>
      </c>
      <c r="B10" s="3">
        <v>32.666666666666664</v>
      </c>
      <c r="C10" s="3">
        <f t="shared" si="0"/>
        <v>10.888888888888888</v>
      </c>
      <c r="D10" s="4">
        <v>2</v>
      </c>
      <c r="E10" s="16">
        <f t="shared" si="1"/>
        <v>18.367346938775512</v>
      </c>
      <c r="F10" s="5">
        <f t="shared" si="2"/>
        <v>6.1224489795918373</v>
      </c>
    </row>
    <row r="11" spans="1:6" ht="16" x14ac:dyDescent="0.2">
      <c r="A11" s="6" t="s">
        <v>11</v>
      </c>
      <c r="B11" s="3">
        <v>193.33333333333334</v>
      </c>
      <c r="C11" s="3">
        <f t="shared" si="0"/>
        <v>64.444444444444443</v>
      </c>
      <c r="D11" s="4">
        <v>20</v>
      </c>
      <c r="E11" s="16">
        <f t="shared" si="1"/>
        <v>31.03448275862069</v>
      </c>
      <c r="F11" s="5">
        <f t="shared" si="2"/>
        <v>10.344827586206897</v>
      </c>
    </row>
    <row r="12" spans="1:6" ht="16" x14ac:dyDescent="0.2">
      <c r="A12" s="6" t="s">
        <v>12</v>
      </c>
      <c r="B12" s="3">
        <v>24.333333333333332</v>
      </c>
      <c r="C12" s="3">
        <f t="shared" si="0"/>
        <v>8.1111111111111107</v>
      </c>
      <c r="D12" s="4">
        <v>20</v>
      </c>
      <c r="E12" s="13">
        <f t="shared" si="1"/>
        <v>246.57534246575344</v>
      </c>
      <c r="F12" s="5">
        <f t="shared" si="2"/>
        <v>82.191780821917817</v>
      </c>
    </row>
    <row r="13" spans="1:6" ht="16" x14ac:dyDescent="0.2">
      <c r="A13" s="6" t="s">
        <v>13</v>
      </c>
      <c r="B13" s="3">
        <v>376</v>
      </c>
      <c r="C13" s="3">
        <f t="shared" si="0"/>
        <v>125.33333333333333</v>
      </c>
      <c r="D13" s="4">
        <v>5</v>
      </c>
      <c r="E13" s="16">
        <f t="shared" si="1"/>
        <v>3.9893617021276597</v>
      </c>
      <c r="F13" s="5">
        <f t="shared" si="2"/>
        <v>1.3297872340425532</v>
      </c>
    </row>
    <row r="14" spans="1:6" ht="16" x14ac:dyDescent="0.2">
      <c r="A14" s="6" t="s">
        <v>14</v>
      </c>
      <c r="B14" s="3">
        <v>13.333333333333334</v>
      </c>
      <c r="C14" s="3">
        <f t="shared" si="0"/>
        <v>4.4444444444444446</v>
      </c>
      <c r="D14" s="4">
        <v>4</v>
      </c>
      <c r="E14" s="14">
        <f t="shared" si="1"/>
        <v>89.999999999999986</v>
      </c>
      <c r="F14" s="5">
        <f t="shared" si="2"/>
        <v>30</v>
      </c>
    </row>
    <row r="15" spans="1:6" ht="16" x14ac:dyDescent="0.2">
      <c r="A15" s="6" t="s">
        <v>15</v>
      </c>
      <c r="B15" s="3">
        <v>31</v>
      </c>
      <c r="C15" s="3">
        <f t="shared" si="0"/>
        <v>10.333333333333334</v>
      </c>
      <c r="D15" s="4">
        <v>0</v>
      </c>
      <c r="E15" s="16">
        <f t="shared" si="1"/>
        <v>0</v>
      </c>
      <c r="F15" s="5">
        <f t="shared" si="2"/>
        <v>0</v>
      </c>
    </row>
    <row r="16" spans="1:6" ht="16" x14ac:dyDescent="0.2">
      <c r="A16" s="6" t="s">
        <v>16</v>
      </c>
      <c r="B16" s="3">
        <v>13.333333333333334</v>
      </c>
      <c r="C16" s="3">
        <f t="shared" si="0"/>
        <v>4.4444444444444446</v>
      </c>
      <c r="D16" s="4">
        <v>6</v>
      </c>
      <c r="E16" s="13">
        <f t="shared" si="1"/>
        <v>135</v>
      </c>
      <c r="F16" s="5">
        <f t="shared" si="2"/>
        <v>44.999999999999993</v>
      </c>
    </row>
    <row r="17" spans="1:6" ht="16" x14ac:dyDescent="0.2">
      <c r="A17" s="6" t="s">
        <v>17</v>
      </c>
      <c r="B17" s="3">
        <v>13.333333333333334</v>
      </c>
      <c r="C17" s="3">
        <f t="shared" si="0"/>
        <v>4.4444444444444446</v>
      </c>
      <c r="D17" s="4">
        <v>0</v>
      </c>
      <c r="E17" s="16">
        <f t="shared" si="1"/>
        <v>0</v>
      </c>
      <c r="F17" s="5">
        <f t="shared" si="2"/>
        <v>0</v>
      </c>
    </row>
    <row r="18" spans="1:6" ht="16" x14ac:dyDescent="0.2">
      <c r="A18" s="6" t="s">
        <v>18</v>
      </c>
      <c r="B18" s="3">
        <v>13.333333333333334</v>
      </c>
      <c r="C18" s="3">
        <f t="shared" si="0"/>
        <v>4.4444444444444446</v>
      </c>
      <c r="D18" s="4">
        <v>10</v>
      </c>
      <c r="E18" s="13">
        <f t="shared" si="1"/>
        <v>225</v>
      </c>
      <c r="F18" s="5">
        <f t="shared" si="2"/>
        <v>75</v>
      </c>
    </row>
    <row r="19" spans="1:6" ht="16" x14ac:dyDescent="0.2">
      <c r="A19" s="6" t="s">
        <v>19</v>
      </c>
      <c r="B19" s="3">
        <v>31</v>
      </c>
      <c r="C19" s="3">
        <f t="shared" si="0"/>
        <v>10.333333333333334</v>
      </c>
      <c r="D19" s="4">
        <v>10</v>
      </c>
      <c r="E19" s="14">
        <f t="shared" si="1"/>
        <v>96.774193548387089</v>
      </c>
      <c r="F19" s="5">
        <f t="shared" si="2"/>
        <v>32.258064516129032</v>
      </c>
    </row>
    <row r="20" spans="1:6" ht="16" x14ac:dyDescent="0.2">
      <c r="A20" s="6" t="s">
        <v>20</v>
      </c>
      <c r="B20" s="3">
        <v>44.333333333333336</v>
      </c>
      <c r="C20" s="3">
        <f t="shared" si="0"/>
        <v>14.777777777777779</v>
      </c>
      <c r="D20" s="4">
        <v>5</v>
      </c>
      <c r="E20" s="16">
        <f t="shared" si="1"/>
        <v>33.834586466165412</v>
      </c>
      <c r="F20" s="5">
        <f t="shared" si="2"/>
        <v>11.278195488721805</v>
      </c>
    </row>
    <row r="21" spans="1:6" ht="16" x14ac:dyDescent="0.2">
      <c r="A21" s="6" t="s">
        <v>21</v>
      </c>
      <c r="B21" s="3">
        <v>13.333333333333334</v>
      </c>
      <c r="C21" s="3">
        <f t="shared" si="0"/>
        <v>4.4444444444444446</v>
      </c>
      <c r="D21" s="4">
        <v>9</v>
      </c>
      <c r="E21" s="13">
        <f t="shared" si="1"/>
        <v>202.5</v>
      </c>
      <c r="F21" s="5">
        <f t="shared" si="2"/>
        <v>67.5</v>
      </c>
    </row>
    <row r="22" spans="1:6" ht="16" x14ac:dyDescent="0.2">
      <c r="A22" s="6" t="s">
        <v>22</v>
      </c>
      <c r="B22" s="3">
        <v>13.333333333333334</v>
      </c>
      <c r="C22" s="3">
        <f t="shared" si="0"/>
        <v>4.4444444444444446</v>
      </c>
      <c r="D22" s="4">
        <v>0</v>
      </c>
      <c r="E22" s="16">
        <f t="shared" si="1"/>
        <v>0</v>
      </c>
      <c r="F22" s="5">
        <f t="shared" si="2"/>
        <v>0</v>
      </c>
    </row>
    <row r="23" spans="1:6" ht="16" x14ac:dyDescent="0.2">
      <c r="A23" s="6" t="s">
        <v>23</v>
      </c>
      <c r="B23" s="3">
        <v>21.666666666666668</v>
      </c>
      <c r="C23" s="3">
        <f t="shared" si="0"/>
        <v>7.2222222222222223</v>
      </c>
      <c r="D23" s="4">
        <v>4</v>
      </c>
      <c r="E23" s="16">
        <f t="shared" si="1"/>
        <v>55.384615384615387</v>
      </c>
      <c r="F23" s="5">
        <f t="shared" si="2"/>
        <v>18.46153846153846</v>
      </c>
    </row>
    <row r="24" spans="1:6" ht="16" x14ac:dyDescent="0.2">
      <c r="A24" s="6" t="s">
        <v>24</v>
      </c>
      <c r="B24" s="3">
        <v>17.666666666666668</v>
      </c>
      <c r="C24" s="3">
        <f t="shared" si="0"/>
        <v>5.8888888888888893</v>
      </c>
      <c r="D24" s="4">
        <v>4</v>
      </c>
      <c r="E24" s="16">
        <f t="shared" si="1"/>
        <v>67.924528301886795</v>
      </c>
      <c r="F24" s="5">
        <f t="shared" si="2"/>
        <v>22.641509433962263</v>
      </c>
    </row>
    <row r="25" spans="1:6" ht="16" x14ac:dyDescent="0.2">
      <c r="A25" s="6" t="s">
        <v>25</v>
      </c>
      <c r="B25" s="3">
        <v>13.333333333333334</v>
      </c>
      <c r="C25" s="3">
        <f t="shared" si="0"/>
        <v>4.4444444444444446</v>
      </c>
      <c r="D25" s="4">
        <v>9</v>
      </c>
      <c r="E25" s="13">
        <f t="shared" si="1"/>
        <v>202.5</v>
      </c>
      <c r="F25" s="5">
        <f t="shared" si="2"/>
        <v>67.5</v>
      </c>
    </row>
    <row r="26" spans="1:6" ht="16" x14ac:dyDescent="0.2">
      <c r="A26" s="6" t="s">
        <v>26</v>
      </c>
      <c r="B26" s="3">
        <v>31</v>
      </c>
      <c r="C26" s="3">
        <f t="shared" si="0"/>
        <v>10.333333333333334</v>
      </c>
      <c r="D26" s="4">
        <v>5</v>
      </c>
      <c r="E26" s="16">
        <f t="shared" si="1"/>
        <v>48.387096774193544</v>
      </c>
      <c r="F26" s="5">
        <f t="shared" si="2"/>
        <v>16.129032258064516</v>
      </c>
    </row>
    <row r="27" spans="1:6" ht="16" x14ac:dyDescent="0.2">
      <c r="A27" s="6" t="s">
        <v>27</v>
      </c>
      <c r="B27" s="3">
        <v>22.333333333333332</v>
      </c>
      <c r="C27" s="3">
        <f t="shared" si="0"/>
        <v>7.4444444444444438</v>
      </c>
      <c r="D27" s="4">
        <v>3</v>
      </c>
      <c r="E27" s="16">
        <f t="shared" si="1"/>
        <v>40.298507462686572</v>
      </c>
      <c r="F27" s="5">
        <f t="shared" si="2"/>
        <v>13.432835820895523</v>
      </c>
    </row>
    <row r="28" spans="1:6" ht="16" x14ac:dyDescent="0.2">
      <c r="A28" s="6" t="s">
        <v>28</v>
      </c>
      <c r="B28" s="3">
        <v>425</v>
      </c>
      <c r="C28" s="3">
        <f t="shared" si="0"/>
        <v>141.66666666666666</v>
      </c>
      <c r="D28" s="4">
        <v>14</v>
      </c>
      <c r="E28" s="16">
        <f t="shared" si="1"/>
        <v>9.882352941176471</v>
      </c>
      <c r="F28" s="5">
        <f t="shared" si="2"/>
        <v>3.2941176470588238</v>
      </c>
    </row>
    <row r="29" spans="1:6" ht="16" x14ac:dyDescent="0.2">
      <c r="A29" s="6" t="s">
        <v>29</v>
      </c>
      <c r="B29" s="3">
        <v>51.666666666666664</v>
      </c>
      <c r="C29" s="3">
        <f t="shared" si="0"/>
        <v>17.222222222222221</v>
      </c>
      <c r="D29" s="4">
        <v>0</v>
      </c>
      <c r="E29" s="16">
        <f t="shared" si="1"/>
        <v>0</v>
      </c>
      <c r="F29" s="5">
        <f t="shared" si="2"/>
        <v>0</v>
      </c>
    </row>
    <row r="30" spans="1:6" ht="16" x14ac:dyDescent="0.2">
      <c r="A30" s="6" t="s">
        <v>30</v>
      </c>
      <c r="B30" s="3">
        <v>33.333333333333336</v>
      </c>
      <c r="C30" s="3">
        <f t="shared" si="0"/>
        <v>11.111111111111112</v>
      </c>
      <c r="D30" s="4">
        <v>5</v>
      </c>
      <c r="E30" s="16">
        <f t="shared" si="1"/>
        <v>44.999999999999993</v>
      </c>
      <c r="F30" s="5">
        <f t="shared" si="2"/>
        <v>15</v>
      </c>
    </row>
    <row r="31" spans="1:6" ht="16" x14ac:dyDescent="0.2">
      <c r="A31" s="6" t="s">
        <v>31</v>
      </c>
      <c r="B31" s="3">
        <v>327.33333333333331</v>
      </c>
      <c r="C31" s="3">
        <f t="shared" si="0"/>
        <v>109.1111111111111</v>
      </c>
      <c r="D31" s="4">
        <v>45</v>
      </c>
      <c r="E31" s="16">
        <f t="shared" si="1"/>
        <v>41.242362525458255</v>
      </c>
      <c r="F31" s="5">
        <f t="shared" si="2"/>
        <v>13.74745417515275</v>
      </c>
    </row>
    <row r="32" spans="1:6" ht="16" x14ac:dyDescent="0.2">
      <c r="A32" s="6" t="s">
        <v>32</v>
      </c>
      <c r="B32" s="3">
        <v>42</v>
      </c>
      <c r="C32" s="3">
        <f t="shared" si="0"/>
        <v>14</v>
      </c>
      <c r="D32" s="4">
        <v>54</v>
      </c>
      <c r="E32" s="13">
        <f t="shared" si="1"/>
        <v>385.71428571428572</v>
      </c>
      <c r="F32" s="5">
        <f t="shared" si="2"/>
        <v>128.57142857142858</v>
      </c>
    </row>
    <row r="33" spans="1:6" ht="16" x14ac:dyDescent="0.2">
      <c r="A33" s="6" t="s">
        <v>33</v>
      </c>
      <c r="B33" s="3">
        <v>13.333333333333334</v>
      </c>
      <c r="C33" s="3">
        <f t="shared" si="0"/>
        <v>4.4444444444444446</v>
      </c>
      <c r="D33" s="4">
        <v>26</v>
      </c>
      <c r="E33" s="13">
        <f t="shared" si="1"/>
        <v>585</v>
      </c>
      <c r="F33" s="5">
        <f t="shared" si="2"/>
        <v>195</v>
      </c>
    </row>
    <row r="34" spans="1:6" ht="16" x14ac:dyDescent="0.2">
      <c r="A34" s="6" t="s">
        <v>34</v>
      </c>
      <c r="B34" s="3">
        <v>14.333333333333334</v>
      </c>
      <c r="C34" s="3">
        <f t="shared" si="0"/>
        <v>4.7777777777777777</v>
      </c>
      <c r="D34" s="4">
        <v>0</v>
      </c>
      <c r="E34" s="16">
        <f t="shared" si="1"/>
        <v>0</v>
      </c>
      <c r="F34" s="5">
        <f t="shared" si="2"/>
        <v>0</v>
      </c>
    </row>
    <row r="35" spans="1:6" ht="16" x14ac:dyDescent="0.2">
      <c r="A35" s="6" t="s">
        <v>35</v>
      </c>
      <c r="B35" s="3">
        <v>13.333333333333334</v>
      </c>
      <c r="C35" s="3">
        <f t="shared" si="0"/>
        <v>4.4444444444444446</v>
      </c>
      <c r="D35" s="4">
        <v>0</v>
      </c>
      <c r="E35" s="16">
        <f t="shared" si="1"/>
        <v>0</v>
      </c>
      <c r="F35" s="5">
        <f t="shared" si="2"/>
        <v>0</v>
      </c>
    </row>
    <row r="36" spans="1:6" ht="16" x14ac:dyDescent="0.2">
      <c r="A36" s="6" t="s">
        <v>36</v>
      </c>
      <c r="B36" s="3">
        <v>119.66666666666667</v>
      </c>
      <c r="C36" s="3">
        <f t="shared" si="0"/>
        <v>39.888888888888893</v>
      </c>
      <c r="D36" s="4">
        <v>29</v>
      </c>
      <c r="E36" s="16">
        <f t="shared" si="1"/>
        <v>72.701949860724227</v>
      </c>
      <c r="F36" s="5">
        <f t="shared" si="2"/>
        <v>24.233983286908074</v>
      </c>
    </row>
    <row r="37" spans="1:6" ht="16" x14ac:dyDescent="0.2">
      <c r="A37" s="6" t="s">
        <v>37</v>
      </c>
      <c r="B37" s="3">
        <v>146.33333333333334</v>
      </c>
      <c r="C37" s="3">
        <f t="shared" si="0"/>
        <v>48.777777777777779</v>
      </c>
      <c r="D37" s="4">
        <v>23</v>
      </c>
      <c r="E37" s="16">
        <f t="shared" si="1"/>
        <v>47.15261958997722</v>
      </c>
      <c r="F37" s="5">
        <f t="shared" si="2"/>
        <v>15.717539863325738</v>
      </c>
    </row>
    <row r="38" spans="1:6" ht="16" x14ac:dyDescent="0.2">
      <c r="A38" s="6" t="s">
        <v>38</v>
      </c>
      <c r="B38" s="3">
        <v>15.333333333333334</v>
      </c>
      <c r="C38" s="3">
        <f t="shared" si="0"/>
        <v>5.1111111111111116</v>
      </c>
      <c r="D38" s="4">
        <v>6</v>
      </c>
      <c r="E38" s="13">
        <f t="shared" si="1"/>
        <v>117.39130434782608</v>
      </c>
      <c r="F38" s="5">
        <f t="shared" si="2"/>
        <v>39.130434782608688</v>
      </c>
    </row>
    <row r="39" spans="1:6" ht="16" x14ac:dyDescent="0.2">
      <c r="A39" s="6" t="s">
        <v>39</v>
      </c>
      <c r="B39" s="3">
        <v>22.333333333333332</v>
      </c>
      <c r="C39" s="3">
        <f t="shared" si="0"/>
        <v>7.4444444444444438</v>
      </c>
      <c r="D39" s="4">
        <v>4</v>
      </c>
      <c r="E39" s="16">
        <f t="shared" si="1"/>
        <v>53.731343283582092</v>
      </c>
      <c r="F39" s="5">
        <f t="shared" si="2"/>
        <v>17.910447761194032</v>
      </c>
    </row>
    <row r="40" spans="1:6" ht="16" x14ac:dyDescent="0.2">
      <c r="A40" s="6" t="s">
        <v>40</v>
      </c>
      <c r="B40" s="3">
        <v>44.333333333333336</v>
      </c>
      <c r="C40" s="3">
        <f t="shared" si="0"/>
        <v>14.777777777777779</v>
      </c>
      <c r="D40" s="4">
        <v>21</v>
      </c>
      <c r="E40" s="13">
        <f t="shared" si="1"/>
        <v>142.10526315789474</v>
      </c>
      <c r="F40" s="5">
        <f t="shared" si="2"/>
        <v>47.368421052631575</v>
      </c>
    </row>
    <row r="41" spans="1:6" ht="16" x14ac:dyDescent="0.2">
      <c r="A41" s="6" t="s">
        <v>41</v>
      </c>
      <c r="B41" s="3">
        <v>35.666666666666664</v>
      </c>
      <c r="C41" s="3">
        <f t="shared" si="0"/>
        <v>11.888888888888888</v>
      </c>
      <c r="D41" s="4">
        <v>33</v>
      </c>
      <c r="E41" s="13">
        <f t="shared" si="1"/>
        <v>277.57009345794398</v>
      </c>
      <c r="F41" s="5">
        <f t="shared" si="2"/>
        <v>92.523364485981318</v>
      </c>
    </row>
    <row r="42" spans="1:6" ht="16" x14ac:dyDescent="0.2">
      <c r="A42" s="6" t="s">
        <v>42</v>
      </c>
      <c r="B42" s="3">
        <v>15.666666666666666</v>
      </c>
      <c r="C42" s="3">
        <f t="shared" si="0"/>
        <v>5.2222222222222223</v>
      </c>
      <c r="D42" s="4">
        <v>0</v>
      </c>
      <c r="E42" s="16">
        <f t="shared" si="1"/>
        <v>0</v>
      </c>
      <c r="F42" s="5">
        <f t="shared" si="2"/>
        <v>0</v>
      </c>
    </row>
    <row r="43" spans="1:6" ht="16" x14ac:dyDescent="0.2">
      <c r="A43" s="6" t="s">
        <v>43</v>
      </c>
      <c r="B43" s="3">
        <v>22.333333333333332</v>
      </c>
      <c r="C43" s="3">
        <f t="shared" si="0"/>
        <v>7.4444444444444438</v>
      </c>
      <c r="D43" s="4">
        <v>7</v>
      </c>
      <c r="E43" s="14">
        <f t="shared" si="1"/>
        <v>94.029850746268664</v>
      </c>
      <c r="F43" s="5">
        <f t="shared" si="2"/>
        <v>31.343283582089555</v>
      </c>
    </row>
    <row r="44" spans="1:6" ht="16" x14ac:dyDescent="0.2">
      <c r="A44" s="6" t="s">
        <v>44</v>
      </c>
      <c r="B44" s="3">
        <v>17.666666666666668</v>
      </c>
      <c r="C44" s="3">
        <f t="shared" si="0"/>
        <v>5.8888888888888893</v>
      </c>
      <c r="D44" s="4">
        <v>0</v>
      </c>
      <c r="E44" s="16">
        <f t="shared" si="1"/>
        <v>0</v>
      </c>
      <c r="F44" s="5">
        <f t="shared" si="2"/>
        <v>0</v>
      </c>
    </row>
    <row r="45" spans="1:6" ht="16" x14ac:dyDescent="0.2">
      <c r="A45" s="6" t="s">
        <v>45</v>
      </c>
      <c r="B45" s="3">
        <v>17.666666666666668</v>
      </c>
      <c r="C45" s="3">
        <f t="shared" si="0"/>
        <v>5.8888888888888893</v>
      </c>
      <c r="D45" s="4">
        <v>18</v>
      </c>
      <c r="E45" s="13">
        <f t="shared" si="1"/>
        <v>305.66037735849056</v>
      </c>
      <c r="F45" s="5">
        <f t="shared" si="2"/>
        <v>101.88679245283019</v>
      </c>
    </row>
    <row r="46" spans="1:6" ht="16" x14ac:dyDescent="0.2">
      <c r="A46" s="6" t="s">
        <v>46</v>
      </c>
      <c r="B46" s="3">
        <v>115.33333333333333</v>
      </c>
      <c r="C46" s="3">
        <f t="shared" si="0"/>
        <v>38.444444444444443</v>
      </c>
      <c r="D46" s="4">
        <v>30</v>
      </c>
      <c r="E46" s="16">
        <f t="shared" si="1"/>
        <v>78.034682080924853</v>
      </c>
      <c r="F46" s="5">
        <f t="shared" si="2"/>
        <v>26.011560693641623</v>
      </c>
    </row>
    <row r="47" spans="1:6" ht="16" x14ac:dyDescent="0.2">
      <c r="A47" s="6" t="s">
        <v>47</v>
      </c>
      <c r="B47" s="3">
        <v>17.666666666666668</v>
      </c>
      <c r="C47" s="3">
        <f t="shared" si="0"/>
        <v>5.8888888888888893</v>
      </c>
      <c r="D47" s="4">
        <v>84</v>
      </c>
      <c r="E47" s="13">
        <f t="shared" si="1"/>
        <v>1426.4150943396226</v>
      </c>
      <c r="F47" s="5">
        <f t="shared" si="2"/>
        <v>475.47169811320754</v>
      </c>
    </row>
    <row r="48" spans="1:6" ht="16" x14ac:dyDescent="0.2">
      <c r="A48" s="6" t="s">
        <v>48</v>
      </c>
      <c r="B48" s="3">
        <v>296</v>
      </c>
      <c r="C48" s="3">
        <f t="shared" si="0"/>
        <v>98.666666666666671</v>
      </c>
      <c r="D48" s="4">
        <v>9</v>
      </c>
      <c r="E48" s="16">
        <f t="shared" si="1"/>
        <v>9.121621621621621</v>
      </c>
      <c r="F48" s="5">
        <f t="shared" si="2"/>
        <v>3.0405405405405408</v>
      </c>
    </row>
    <row r="49" spans="1:6" ht="16" x14ac:dyDescent="0.2">
      <c r="A49" s="6" t="s">
        <v>49</v>
      </c>
      <c r="B49" s="3">
        <v>354.66666666666669</v>
      </c>
      <c r="C49" s="3">
        <f t="shared" si="0"/>
        <v>118.22222222222223</v>
      </c>
      <c r="D49" s="4">
        <v>24</v>
      </c>
      <c r="E49" s="16">
        <f t="shared" si="1"/>
        <v>20.300751879699249</v>
      </c>
      <c r="F49" s="5">
        <f t="shared" si="2"/>
        <v>6.7669172932330826</v>
      </c>
    </row>
    <row r="50" spans="1:6" ht="20" x14ac:dyDescent="0.2">
      <c r="A50" s="7" t="s">
        <v>50</v>
      </c>
      <c r="B50" s="8">
        <v>5061</v>
      </c>
      <c r="C50" s="8">
        <f t="shared" si="0"/>
        <v>1687</v>
      </c>
      <c r="D50" s="9">
        <v>730</v>
      </c>
      <c r="E50" s="17">
        <f t="shared" si="1"/>
        <v>43.272080616478959</v>
      </c>
      <c r="F50" s="10">
        <f t="shared" si="2"/>
        <v>14.424026872159651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77BD-160B-2340-B5E4-435E6DA34D77}">
  <dimension ref="A1:F50"/>
  <sheetViews>
    <sheetView workbookViewId="0">
      <selection activeCell="F1" sqref="F1"/>
    </sheetView>
  </sheetViews>
  <sheetFormatPr baseColWidth="10" defaultRowHeight="15" x14ac:dyDescent="0.2"/>
  <cols>
    <col min="1" max="1" width="24.33203125" bestFit="1" customWidth="1"/>
    <col min="2" max="2" width="12.6640625" bestFit="1" customWidth="1"/>
    <col min="3" max="3" width="12" bestFit="1" customWidth="1"/>
    <col min="4" max="4" width="8.6640625" bestFit="1" customWidth="1"/>
    <col min="5" max="5" width="13.1640625" bestFit="1" customWidth="1"/>
    <col min="6" max="6" width="21" bestFit="1" customWidth="1"/>
  </cols>
  <sheetData>
    <row r="1" spans="1:6" x14ac:dyDescent="0.2">
      <c r="A1" s="18" t="s">
        <v>55</v>
      </c>
      <c r="B1" s="18" t="s">
        <v>54</v>
      </c>
      <c r="C1" s="18" t="s">
        <v>56</v>
      </c>
      <c r="D1" s="18" t="s">
        <v>57</v>
      </c>
      <c r="E1" s="18" t="s">
        <v>58</v>
      </c>
      <c r="F1" s="18" t="s">
        <v>59</v>
      </c>
    </row>
    <row r="2" spans="1:6" x14ac:dyDescent="0.2">
      <c r="A2" t="s">
        <v>47</v>
      </c>
      <c r="B2" s="19">
        <v>17.670000000000002</v>
      </c>
      <c r="C2" s="19">
        <v>5.89</v>
      </c>
      <c r="D2">
        <v>84</v>
      </c>
      <c r="E2" s="19">
        <v>1426.42</v>
      </c>
      <c r="F2" s="19">
        <v>475.47</v>
      </c>
    </row>
    <row r="3" spans="1:6" x14ac:dyDescent="0.2">
      <c r="A3" t="s">
        <v>33</v>
      </c>
      <c r="B3" s="19">
        <v>13.33</v>
      </c>
      <c r="C3" s="19">
        <v>4.4400000000000004</v>
      </c>
      <c r="D3">
        <v>26</v>
      </c>
      <c r="E3" s="19">
        <v>585</v>
      </c>
      <c r="F3" s="19">
        <v>195</v>
      </c>
    </row>
    <row r="4" spans="1:6" x14ac:dyDescent="0.2">
      <c r="A4" t="s">
        <v>32</v>
      </c>
      <c r="B4" s="19">
        <v>42</v>
      </c>
      <c r="C4" s="19">
        <v>14</v>
      </c>
      <c r="D4">
        <v>54</v>
      </c>
      <c r="E4" s="19">
        <v>385.71</v>
      </c>
      <c r="F4" s="19">
        <v>128.57</v>
      </c>
    </row>
    <row r="5" spans="1:6" x14ac:dyDescent="0.2">
      <c r="A5" t="s">
        <v>45</v>
      </c>
      <c r="B5" s="19">
        <v>17.670000000000002</v>
      </c>
      <c r="C5" s="19">
        <v>5.89</v>
      </c>
      <c r="D5">
        <v>18</v>
      </c>
      <c r="E5" s="19">
        <v>305.66000000000003</v>
      </c>
      <c r="F5" s="19">
        <v>101.89</v>
      </c>
    </row>
    <row r="6" spans="1:6" x14ac:dyDescent="0.2">
      <c r="A6" t="s">
        <v>41</v>
      </c>
      <c r="B6" s="19">
        <v>35.67</v>
      </c>
      <c r="C6" s="19">
        <v>11.89</v>
      </c>
      <c r="D6">
        <v>33</v>
      </c>
      <c r="E6" s="19">
        <v>277.57</v>
      </c>
      <c r="F6" s="19">
        <v>92.52</v>
      </c>
    </row>
    <row r="7" spans="1:6" x14ac:dyDescent="0.2">
      <c r="A7" t="s">
        <v>12</v>
      </c>
      <c r="B7" s="19">
        <v>24.33</v>
      </c>
      <c r="C7" s="19">
        <v>8.11</v>
      </c>
      <c r="D7">
        <v>20</v>
      </c>
      <c r="E7" s="19">
        <v>246.58</v>
      </c>
      <c r="F7" s="19">
        <v>82.19</v>
      </c>
    </row>
    <row r="8" spans="1:6" x14ac:dyDescent="0.2">
      <c r="A8" t="s">
        <v>18</v>
      </c>
      <c r="B8" s="19">
        <v>13.33</v>
      </c>
      <c r="C8" s="19">
        <v>4.4400000000000004</v>
      </c>
      <c r="D8">
        <v>10</v>
      </c>
      <c r="E8" s="19">
        <v>225</v>
      </c>
      <c r="F8" s="19">
        <v>75</v>
      </c>
    </row>
    <row r="9" spans="1:6" x14ac:dyDescent="0.2">
      <c r="A9" t="s">
        <v>21</v>
      </c>
      <c r="B9" s="19">
        <v>13.33</v>
      </c>
      <c r="C9" s="19">
        <v>4.4400000000000004</v>
      </c>
      <c r="D9">
        <v>9</v>
      </c>
      <c r="E9" s="19">
        <v>202.5</v>
      </c>
      <c r="F9" s="19">
        <v>67.5</v>
      </c>
    </row>
    <row r="10" spans="1:6" x14ac:dyDescent="0.2">
      <c r="A10" t="s">
        <v>25</v>
      </c>
      <c r="B10" s="19">
        <v>13.33</v>
      </c>
      <c r="C10" s="19">
        <v>4.4400000000000004</v>
      </c>
      <c r="D10">
        <v>9</v>
      </c>
      <c r="E10" s="19">
        <v>202.5</v>
      </c>
      <c r="F10" s="19">
        <v>67.5</v>
      </c>
    </row>
    <row r="11" spans="1:6" x14ac:dyDescent="0.2">
      <c r="A11" t="s">
        <v>40</v>
      </c>
      <c r="B11" s="19">
        <v>44.33</v>
      </c>
      <c r="C11" s="19">
        <v>14.78</v>
      </c>
      <c r="D11">
        <v>21</v>
      </c>
      <c r="E11" s="19">
        <v>142.11000000000001</v>
      </c>
      <c r="F11" s="19">
        <v>47.37</v>
      </c>
    </row>
    <row r="12" spans="1:6" x14ac:dyDescent="0.2">
      <c r="A12" t="s">
        <v>16</v>
      </c>
      <c r="B12" s="19">
        <v>13.33</v>
      </c>
      <c r="C12" s="19">
        <v>4.4400000000000004</v>
      </c>
      <c r="D12">
        <v>6</v>
      </c>
      <c r="E12" s="19">
        <v>135</v>
      </c>
      <c r="F12" s="19">
        <v>45</v>
      </c>
    </row>
    <row r="13" spans="1:6" x14ac:dyDescent="0.2">
      <c r="A13" t="s">
        <v>38</v>
      </c>
      <c r="B13" s="19">
        <v>15.33</v>
      </c>
      <c r="C13" s="19">
        <v>5.1100000000000003</v>
      </c>
      <c r="D13">
        <v>6</v>
      </c>
      <c r="E13" s="19">
        <v>117.39</v>
      </c>
      <c r="F13" s="19">
        <v>39.130000000000003</v>
      </c>
    </row>
    <row r="14" spans="1:6" x14ac:dyDescent="0.2">
      <c r="A14" t="s">
        <v>4</v>
      </c>
      <c r="B14" s="19">
        <v>53.33</v>
      </c>
      <c r="C14" s="19">
        <v>17.78</v>
      </c>
      <c r="D14">
        <v>19</v>
      </c>
      <c r="E14" s="19">
        <v>106.88</v>
      </c>
      <c r="F14" s="19">
        <v>35.630000000000003</v>
      </c>
    </row>
    <row r="15" spans="1:6" x14ac:dyDescent="0.2">
      <c r="A15" t="s">
        <v>19</v>
      </c>
      <c r="B15" s="19">
        <v>31</v>
      </c>
      <c r="C15" s="19">
        <v>10.33</v>
      </c>
      <c r="D15">
        <v>10</v>
      </c>
      <c r="E15" s="19">
        <v>96.77</v>
      </c>
      <c r="F15" s="19">
        <v>32.26</v>
      </c>
    </row>
    <row r="16" spans="1:6" x14ac:dyDescent="0.2">
      <c r="A16" t="s">
        <v>43</v>
      </c>
      <c r="B16" s="19">
        <v>22.33</v>
      </c>
      <c r="C16" s="19">
        <v>7.44</v>
      </c>
      <c r="D16">
        <v>7</v>
      </c>
      <c r="E16" s="19">
        <v>94.03</v>
      </c>
      <c r="F16" s="19">
        <v>31.34</v>
      </c>
    </row>
    <row r="17" spans="1:6" x14ac:dyDescent="0.2">
      <c r="A17" t="s">
        <v>14</v>
      </c>
      <c r="B17" s="19">
        <v>13.33</v>
      </c>
      <c r="C17" s="19">
        <v>4.4400000000000004</v>
      </c>
      <c r="D17">
        <v>4</v>
      </c>
      <c r="E17" s="19">
        <v>90</v>
      </c>
      <c r="F17" s="19">
        <v>30</v>
      </c>
    </row>
    <row r="18" spans="1:6" x14ac:dyDescent="0.2">
      <c r="A18" t="s">
        <v>46</v>
      </c>
      <c r="B18" s="19">
        <v>115.33</v>
      </c>
      <c r="C18" s="19">
        <v>38.44</v>
      </c>
      <c r="D18">
        <v>30</v>
      </c>
      <c r="E18" s="19">
        <v>78.03</v>
      </c>
      <c r="F18" s="19">
        <v>26.01</v>
      </c>
    </row>
    <row r="19" spans="1:6" x14ac:dyDescent="0.2">
      <c r="A19" t="s">
        <v>36</v>
      </c>
      <c r="B19" s="19">
        <v>119.67</v>
      </c>
      <c r="C19" s="19">
        <v>39.89</v>
      </c>
      <c r="D19">
        <v>29</v>
      </c>
      <c r="E19" s="19">
        <v>72.7</v>
      </c>
      <c r="F19" s="19">
        <v>24.23</v>
      </c>
    </row>
    <row r="20" spans="1:6" x14ac:dyDescent="0.2">
      <c r="A20" t="s">
        <v>24</v>
      </c>
      <c r="B20" s="19">
        <v>17.670000000000002</v>
      </c>
      <c r="C20" s="19">
        <v>5.89</v>
      </c>
      <c r="D20">
        <v>4</v>
      </c>
      <c r="E20" s="19">
        <v>67.92</v>
      </c>
      <c r="F20" s="19">
        <v>22.64</v>
      </c>
    </row>
    <row r="21" spans="1:6" x14ac:dyDescent="0.2">
      <c r="A21" t="s">
        <v>23</v>
      </c>
      <c r="B21" s="19">
        <v>21.67</v>
      </c>
      <c r="C21" s="19">
        <v>7.22</v>
      </c>
      <c r="D21">
        <v>4</v>
      </c>
      <c r="E21" s="19">
        <v>55.38</v>
      </c>
      <c r="F21" s="19">
        <v>18.46</v>
      </c>
    </row>
    <row r="22" spans="1:6" x14ac:dyDescent="0.2">
      <c r="A22" t="s">
        <v>39</v>
      </c>
      <c r="B22" s="19">
        <v>22.33</v>
      </c>
      <c r="C22" s="19">
        <v>7.44</v>
      </c>
      <c r="D22">
        <v>4</v>
      </c>
      <c r="E22" s="19">
        <v>53.73</v>
      </c>
      <c r="F22" s="19">
        <v>17.91</v>
      </c>
    </row>
    <row r="23" spans="1:6" x14ac:dyDescent="0.2">
      <c r="A23" t="s">
        <v>26</v>
      </c>
      <c r="B23" s="19">
        <v>31</v>
      </c>
      <c r="C23" s="19">
        <v>10.33</v>
      </c>
      <c r="D23">
        <v>5</v>
      </c>
      <c r="E23" s="19">
        <v>48.39</v>
      </c>
      <c r="F23" s="19">
        <v>16.13</v>
      </c>
    </row>
    <row r="24" spans="1:6" x14ac:dyDescent="0.2">
      <c r="A24" t="s">
        <v>37</v>
      </c>
      <c r="B24" s="19">
        <v>146.33000000000001</v>
      </c>
      <c r="C24" s="19">
        <v>48.78</v>
      </c>
      <c r="D24">
        <v>23</v>
      </c>
      <c r="E24" s="19">
        <v>47.15</v>
      </c>
      <c r="F24" s="19">
        <v>15.72</v>
      </c>
    </row>
    <row r="25" spans="1:6" x14ac:dyDescent="0.2">
      <c r="A25" t="s">
        <v>30</v>
      </c>
      <c r="B25" s="19">
        <v>33.33</v>
      </c>
      <c r="C25" s="19">
        <v>11.11</v>
      </c>
      <c r="D25">
        <v>5</v>
      </c>
      <c r="E25" s="19">
        <v>45</v>
      </c>
      <c r="F25" s="19">
        <v>15</v>
      </c>
    </row>
    <row r="26" spans="1:6" x14ac:dyDescent="0.2">
      <c r="A26" t="s">
        <v>50</v>
      </c>
      <c r="B26" s="19">
        <v>5061</v>
      </c>
      <c r="C26" s="19">
        <v>1687</v>
      </c>
      <c r="D26">
        <v>730</v>
      </c>
      <c r="E26" s="19">
        <v>43.27</v>
      </c>
      <c r="F26" s="19">
        <v>14.42</v>
      </c>
    </row>
    <row r="27" spans="1:6" x14ac:dyDescent="0.2">
      <c r="A27" t="s">
        <v>3</v>
      </c>
      <c r="B27" s="19">
        <v>398.67</v>
      </c>
      <c r="C27" s="19">
        <v>132.88999999999999</v>
      </c>
      <c r="D27">
        <v>56</v>
      </c>
      <c r="E27" s="19">
        <v>42.14</v>
      </c>
      <c r="F27" s="19">
        <v>14.05</v>
      </c>
    </row>
    <row r="28" spans="1:6" x14ac:dyDescent="0.2">
      <c r="A28" t="s">
        <v>31</v>
      </c>
      <c r="B28" s="19">
        <v>327.33</v>
      </c>
      <c r="C28" s="19">
        <v>109.11</v>
      </c>
      <c r="D28">
        <v>45</v>
      </c>
      <c r="E28" s="19">
        <v>41.24</v>
      </c>
      <c r="F28" s="19">
        <v>13.75</v>
      </c>
    </row>
    <row r="29" spans="1:6" x14ac:dyDescent="0.2">
      <c r="A29" t="s">
        <v>27</v>
      </c>
      <c r="B29" s="19">
        <v>22.33</v>
      </c>
      <c r="C29" s="19">
        <v>7.44</v>
      </c>
      <c r="D29">
        <v>3</v>
      </c>
      <c r="E29" s="19">
        <v>40.299999999999997</v>
      </c>
      <c r="F29" s="19">
        <v>13.43</v>
      </c>
    </row>
    <row r="30" spans="1:6" x14ac:dyDescent="0.2">
      <c r="A30" t="s">
        <v>20</v>
      </c>
      <c r="B30" s="19">
        <v>44.33</v>
      </c>
      <c r="C30" s="19">
        <v>14.78</v>
      </c>
      <c r="D30">
        <v>5</v>
      </c>
      <c r="E30" s="19">
        <v>33.83</v>
      </c>
      <c r="F30" s="19">
        <v>11.28</v>
      </c>
    </row>
    <row r="31" spans="1:6" x14ac:dyDescent="0.2">
      <c r="A31" t="s">
        <v>11</v>
      </c>
      <c r="B31" s="19">
        <v>193.33</v>
      </c>
      <c r="C31" s="19">
        <v>64.44</v>
      </c>
      <c r="D31">
        <v>20</v>
      </c>
      <c r="E31" s="19">
        <v>31.03</v>
      </c>
      <c r="F31" s="19">
        <v>10.34</v>
      </c>
    </row>
    <row r="32" spans="1:6" x14ac:dyDescent="0.2">
      <c r="A32" t="s">
        <v>49</v>
      </c>
      <c r="B32" s="19">
        <v>354.67</v>
      </c>
      <c r="C32" s="19">
        <v>118.22</v>
      </c>
      <c r="D32">
        <v>24</v>
      </c>
      <c r="E32" s="19">
        <v>20.3</v>
      </c>
      <c r="F32" s="19">
        <v>6.77</v>
      </c>
    </row>
    <row r="33" spans="1:6" x14ac:dyDescent="0.2">
      <c r="A33" t="s">
        <v>10</v>
      </c>
      <c r="B33" s="19">
        <v>32.67</v>
      </c>
      <c r="C33" s="19">
        <v>10.89</v>
      </c>
      <c r="D33">
        <v>2</v>
      </c>
      <c r="E33" s="19">
        <v>18.37</v>
      </c>
      <c r="F33" s="19">
        <v>6.12</v>
      </c>
    </row>
    <row r="34" spans="1:6" x14ac:dyDescent="0.2">
      <c r="A34" t="s">
        <v>9</v>
      </c>
      <c r="B34" s="19">
        <v>23</v>
      </c>
      <c r="C34" s="19">
        <v>7.67</v>
      </c>
      <c r="D34">
        <v>1</v>
      </c>
      <c r="E34" s="19">
        <v>13.04</v>
      </c>
      <c r="F34" s="19">
        <v>4.3499999999999996</v>
      </c>
    </row>
    <row r="35" spans="1:6" x14ac:dyDescent="0.2">
      <c r="A35" t="s">
        <v>2</v>
      </c>
      <c r="B35" s="19">
        <v>23.33</v>
      </c>
      <c r="C35" s="19">
        <v>7.78</v>
      </c>
      <c r="D35">
        <v>1</v>
      </c>
      <c r="E35" s="19">
        <v>12.86</v>
      </c>
      <c r="F35" s="19">
        <v>4.29</v>
      </c>
    </row>
    <row r="36" spans="1:6" x14ac:dyDescent="0.2">
      <c r="A36" t="s">
        <v>28</v>
      </c>
      <c r="B36" s="19">
        <v>425</v>
      </c>
      <c r="C36" s="19">
        <v>141.66999999999999</v>
      </c>
      <c r="D36">
        <v>14</v>
      </c>
      <c r="E36" s="19">
        <v>9.8800000000000008</v>
      </c>
      <c r="F36" s="19">
        <v>3.29</v>
      </c>
    </row>
    <row r="37" spans="1:6" x14ac:dyDescent="0.2">
      <c r="A37" t="s">
        <v>48</v>
      </c>
      <c r="B37" s="19">
        <v>296</v>
      </c>
      <c r="C37" s="19">
        <v>98.67</v>
      </c>
      <c r="D37">
        <v>9</v>
      </c>
      <c r="E37" s="19">
        <v>9.1199999999999992</v>
      </c>
      <c r="F37" s="19">
        <v>3.04</v>
      </c>
    </row>
    <row r="38" spans="1:6" x14ac:dyDescent="0.2">
      <c r="A38" t="s">
        <v>7</v>
      </c>
      <c r="B38" s="19">
        <v>380.33</v>
      </c>
      <c r="C38" s="19">
        <v>126.78</v>
      </c>
      <c r="D38">
        <v>10</v>
      </c>
      <c r="E38" s="19">
        <v>7.89</v>
      </c>
      <c r="F38" s="19">
        <v>2.63</v>
      </c>
    </row>
    <row r="39" spans="1:6" x14ac:dyDescent="0.2">
      <c r="A39" t="s">
        <v>8</v>
      </c>
      <c r="B39" s="19">
        <v>356</v>
      </c>
      <c r="C39" s="19">
        <v>118.67</v>
      </c>
      <c r="D39">
        <v>8</v>
      </c>
      <c r="E39" s="19">
        <v>6.74</v>
      </c>
      <c r="F39" s="19">
        <v>2.25</v>
      </c>
    </row>
    <row r="40" spans="1:6" x14ac:dyDescent="0.2">
      <c r="A40" t="s">
        <v>13</v>
      </c>
      <c r="B40" s="19">
        <v>376</v>
      </c>
      <c r="C40" s="19">
        <v>125.33</v>
      </c>
      <c r="D40">
        <v>5</v>
      </c>
      <c r="E40" s="19">
        <v>3.99</v>
      </c>
      <c r="F40" s="19">
        <v>1.33</v>
      </c>
    </row>
    <row r="41" spans="1:6" x14ac:dyDescent="0.2">
      <c r="A41" t="s">
        <v>5</v>
      </c>
      <c r="B41" s="19">
        <v>278.33</v>
      </c>
      <c r="C41" s="19">
        <v>92.78</v>
      </c>
      <c r="D41">
        <v>1</v>
      </c>
      <c r="E41" s="19">
        <v>1.08</v>
      </c>
      <c r="F41" s="19">
        <v>0.36</v>
      </c>
    </row>
    <row r="42" spans="1:6" x14ac:dyDescent="0.2">
      <c r="A42" t="s">
        <v>6</v>
      </c>
      <c r="B42" s="19">
        <v>468.33</v>
      </c>
      <c r="C42" s="19">
        <v>156.11000000000001</v>
      </c>
      <c r="D42">
        <v>1</v>
      </c>
      <c r="E42" s="19">
        <v>0.64</v>
      </c>
      <c r="F42" s="19">
        <v>0.21</v>
      </c>
    </row>
    <row r="43" spans="1:6" x14ac:dyDescent="0.2">
      <c r="A43" t="s">
        <v>15</v>
      </c>
      <c r="B43" s="19">
        <v>31</v>
      </c>
      <c r="C43" s="19">
        <v>10.33</v>
      </c>
      <c r="D43">
        <v>0</v>
      </c>
      <c r="E43" s="19">
        <v>0</v>
      </c>
      <c r="F43" s="19">
        <v>0</v>
      </c>
    </row>
    <row r="44" spans="1:6" x14ac:dyDescent="0.2">
      <c r="A44" t="s">
        <v>17</v>
      </c>
      <c r="B44" s="19">
        <v>13.33</v>
      </c>
      <c r="C44" s="19">
        <v>4.4400000000000004</v>
      </c>
      <c r="D44">
        <v>0</v>
      </c>
      <c r="E44" s="19">
        <v>0</v>
      </c>
      <c r="F44" s="19">
        <v>0</v>
      </c>
    </row>
    <row r="45" spans="1:6" x14ac:dyDescent="0.2">
      <c r="A45" t="s">
        <v>22</v>
      </c>
      <c r="B45" s="19">
        <v>13.33</v>
      </c>
      <c r="C45" s="19">
        <v>4.4400000000000004</v>
      </c>
      <c r="D45">
        <v>0</v>
      </c>
      <c r="E45" s="19">
        <v>0</v>
      </c>
      <c r="F45" s="19">
        <v>0</v>
      </c>
    </row>
    <row r="46" spans="1:6" x14ac:dyDescent="0.2">
      <c r="A46" t="s">
        <v>29</v>
      </c>
      <c r="B46" s="19">
        <v>51.67</v>
      </c>
      <c r="C46" s="19">
        <v>17.22</v>
      </c>
      <c r="D46">
        <v>0</v>
      </c>
      <c r="E46" s="19">
        <v>0</v>
      </c>
      <c r="F46" s="19">
        <v>0</v>
      </c>
    </row>
    <row r="47" spans="1:6" x14ac:dyDescent="0.2">
      <c r="A47" t="s">
        <v>34</v>
      </c>
      <c r="B47" s="19">
        <v>14.33</v>
      </c>
      <c r="C47" s="19">
        <v>4.78</v>
      </c>
      <c r="D47">
        <v>0</v>
      </c>
      <c r="E47" s="19">
        <v>0</v>
      </c>
      <c r="F47" s="19">
        <v>0</v>
      </c>
    </row>
    <row r="48" spans="1:6" x14ac:dyDescent="0.2">
      <c r="A48" t="s">
        <v>35</v>
      </c>
      <c r="B48" s="19">
        <v>13.33</v>
      </c>
      <c r="C48" s="19">
        <v>4.4400000000000004</v>
      </c>
      <c r="D48">
        <v>0</v>
      </c>
      <c r="E48" s="19">
        <v>0</v>
      </c>
      <c r="F48" s="19">
        <v>0</v>
      </c>
    </row>
    <row r="49" spans="1:6" x14ac:dyDescent="0.2">
      <c r="A49" t="s">
        <v>42</v>
      </c>
      <c r="B49" s="19">
        <v>15.67</v>
      </c>
      <c r="C49" s="19">
        <v>5.22</v>
      </c>
      <c r="D49">
        <v>0</v>
      </c>
      <c r="E49" s="19">
        <v>0</v>
      </c>
      <c r="F49" s="19">
        <v>0</v>
      </c>
    </row>
    <row r="50" spans="1:6" x14ac:dyDescent="0.2">
      <c r="A50" t="s">
        <v>44</v>
      </c>
      <c r="B50" s="19">
        <v>17.670000000000002</v>
      </c>
      <c r="C50" s="19">
        <v>5.89</v>
      </c>
      <c r="D50">
        <v>0</v>
      </c>
      <c r="E50" s="19">
        <v>0</v>
      </c>
      <c r="F50" s="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7FDD-8F2C-FA40-BC19-436B5C36681A}">
  <dimension ref="A1:F50"/>
  <sheetViews>
    <sheetView tabSelected="1" workbookViewId="0">
      <selection activeCell="F1" sqref="F1"/>
    </sheetView>
  </sheetViews>
  <sheetFormatPr baseColWidth="10" defaultRowHeight="15" x14ac:dyDescent="0.2"/>
  <cols>
    <col min="1" max="1" width="24.33203125" bestFit="1" customWidth="1"/>
    <col min="2" max="2" width="12.6640625" bestFit="1" customWidth="1"/>
    <col min="3" max="3" width="12" bestFit="1" customWidth="1"/>
    <col min="4" max="4" width="8.6640625" bestFit="1" customWidth="1"/>
    <col min="5" max="5" width="13.1640625" bestFit="1" customWidth="1"/>
    <col min="6" max="6" width="21" bestFit="1" customWidth="1"/>
  </cols>
  <sheetData>
    <row r="1" spans="1:6" x14ac:dyDescent="0.2">
      <c r="A1" s="18" t="s">
        <v>55</v>
      </c>
      <c r="B1" s="18" t="s">
        <v>54</v>
      </c>
      <c r="C1" s="18" t="s">
        <v>56</v>
      </c>
      <c r="D1" s="18" t="s">
        <v>57</v>
      </c>
      <c r="E1" s="18" t="s">
        <v>58</v>
      </c>
      <c r="F1" s="18" t="s">
        <v>59</v>
      </c>
    </row>
    <row r="2" spans="1:6" x14ac:dyDescent="0.2">
      <c r="A2" t="s">
        <v>47</v>
      </c>
      <c r="B2" s="19">
        <v>17.670000000000002</v>
      </c>
      <c r="C2" s="19">
        <v>5.89</v>
      </c>
      <c r="D2">
        <v>84</v>
      </c>
      <c r="E2" s="19">
        <v>1426.42</v>
      </c>
      <c r="F2" s="19">
        <v>475.47</v>
      </c>
    </row>
    <row r="3" spans="1:6" x14ac:dyDescent="0.2">
      <c r="A3" t="s">
        <v>33</v>
      </c>
      <c r="B3" s="19">
        <v>13.33</v>
      </c>
      <c r="C3" s="19">
        <v>4.4400000000000004</v>
      </c>
      <c r="D3">
        <v>26</v>
      </c>
      <c r="E3" s="19">
        <v>585</v>
      </c>
      <c r="F3" s="19">
        <v>195</v>
      </c>
    </row>
    <row r="4" spans="1:6" x14ac:dyDescent="0.2">
      <c r="A4" t="s">
        <v>32</v>
      </c>
      <c r="B4" s="19">
        <v>42</v>
      </c>
      <c r="C4" s="19">
        <v>14</v>
      </c>
      <c r="D4">
        <v>54</v>
      </c>
      <c r="E4" s="19">
        <v>385.71</v>
      </c>
      <c r="F4" s="19">
        <v>128.57</v>
      </c>
    </row>
    <row r="5" spans="1:6" x14ac:dyDescent="0.2">
      <c r="A5" t="s">
        <v>45</v>
      </c>
      <c r="B5" s="19">
        <v>17.670000000000002</v>
      </c>
      <c r="C5" s="19">
        <v>5.89</v>
      </c>
      <c r="D5">
        <v>18</v>
      </c>
      <c r="E5" s="19">
        <v>305.66000000000003</v>
      </c>
      <c r="F5" s="19">
        <v>101.89</v>
      </c>
    </row>
    <row r="6" spans="1:6" x14ac:dyDescent="0.2">
      <c r="A6" t="s">
        <v>41</v>
      </c>
      <c r="B6" s="19">
        <v>35.67</v>
      </c>
      <c r="C6" s="19">
        <v>11.89</v>
      </c>
      <c r="D6">
        <v>33</v>
      </c>
      <c r="E6" s="19">
        <v>277.57</v>
      </c>
      <c r="F6" s="19">
        <v>92.52</v>
      </c>
    </row>
    <row r="7" spans="1:6" x14ac:dyDescent="0.2">
      <c r="A7" t="s">
        <v>12</v>
      </c>
      <c r="B7" s="19">
        <v>24.33</v>
      </c>
      <c r="C7" s="19">
        <v>8.11</v>
      </c>
      <c r="D7">
        <v>20</v>
      </c>
      <c r="E7" s="19">
        <v>246.58</v>
      </c>
      <c r="F7" s="19">
        <v>82.19</v>
      </c>
    </row>
    <row r="8" spans="1:6" x14ac:dyDescent="0.2">
      <c r="A8" t="s">
        <v>18</v>
      </c>
      <c r="B8" s="19">
        <v>13.33</v>
      </c>
      <c r="C8" s="19">
        <v>4.4400000000000004</v>
      </c>
      <c r="D8">
        <v>10</v>
      </c>
      <c r="E8" s="19">
        <v>225</v>
      </c>
      <c r="F8" s="19">
        <v>75</v>
      </c>
    </row>
    <row r="9" spans="1:6" x14ac:dyDescent="0.2">
      <c r="A9" t="s">
        <v>21</v>
      </c>
      <c r="B9" s="19">
        <v>13.33</v>
      </c>
      <c r="C9" s="19">
        <v>4.4400000000000004</v>
      </c>
      <c r="D9">
        <v>9</v>
      </c>
      <c r="E9" s="19">
        <v>202.5</v>
      </c>
      <c r="F9" s="19">
        <v>67.5</v>
      </c>
    </row>
    <row r="10" spans="1:6" x14ac:dyDescent="0.2">
      <c r="A10" t="s">
        <v>25</v>
      </c>
      <c r="B10" s="19">
        <v>13.33</v>
      </c>
      <c r="C10" s="19">
        <v>4.4400000000000004</v>
      </c>
      <c r="D10">
        <v>9</v>
      </c>
      <c r="E10" s="19">
        <v>202.5</v>
      </c>
      <c r="F10" s="19">
        <v>67.5</v>
      </c>
    </row>
    <row r="11" spans="1:6" x14ac:dyDescent="0.2">
      <c r="A11" t="s">
        <v>40</v>
      </c>
      <c r="B11" s="19">
        <v>44.33</v>
      </c>
      <c r="C11" s="19">
        <v>14.78</v>
      </c>
      <c r="D11">
        <v>21</v>
      </c>
      <c r="E11" s="19">
        <v>142.11000000000001</v>
      </c>
      <c r="F11" s="19">
        <v>47.37</v>
      </c>
    </row>
    <row r="12" spans="1:6" x14ac:dyDescent="0.2">
      <c r="A12" t="s">
        <v>16</v>
      </c>
      <c r="B12" s="19">
        <v>13.33</v>
      </c>
      <c r="C12" s="19">
        <v>4.4400000000000004</v>
      </c>
      <c r="D12">
        <v>6</v>
      </c>
      <c r="E12" s="19">
        <v>135</v>
      </c>
      <c r="F12" s="19">
        <v>45</v>
      </c>
    </row>
    <row r="13" spans="1:6" x14ac:dyDescent="0.2">
      <c r="A13" t="s">
        <v>38</v>
      </c>
      <c r="B13" s="19">
        <v>15.33</v>
      </c>
      <c r="C13" s="19">
        <v>5.1100000000000003</v>
      </c>
      <c r="D13">
        <v>6</v>
      </c>
      <c r="E13" s="19">
        <v>117.39</v>
      </c>
      <c r="F13" s="19">
        <v>39.130000000000003</v>
      </c>
    </row>
    <row r="14" spans="1:6" x14ac:dyDescent="0.2">
      <c r="A14" t="s">
        <v>4</v>
      </c>
      <c r="B14" s="19">
        <v>53.33</v>
      </c>
      <c r="C14" s="19">
        <v>17.78</v>
      </c>
      <c r="D14">
        <v>19</v>
      </c>
      <c r="E14" s="19">
        <v>106.88</v>
      </c>
      <c r="F14" s="19">
        <v>35.630000000000003</v>
      </c>
    </row>
    <row r="15" spans="1:6" x14ac:dyDescent="0.2">
      <c r="A15" t="s">
        <v>19</v>
      </c>
      <c r="B15" s="19">
        <v>31</v>
      </c>
      <c r="C15" s="19">
        <v>10.33</v>
      </c>
      <c r="D15">
        <v>10</v>
      </c>
      <c r="E15" s="19">
        <v>96.77</v>
      </c>
      <c r="F15" s="19">
        <v>32.26</v>
      </c>
    </row>
    <row r="16" spans="1:6" x14ac:dyDescent="0.2">
      <c r="A16" t="s">
        <v>43</v>
      </c>
      <c r="B16" s="19">
        <v>22.33</v>
      </c>
      <c r="C16" s="19">
        <v>7.44</v>
      </c>
      <c r="D16">
        <v>7</v>
      </c>
      <c r="E16" s="19">
        <v>94.03</v>
      </c>
      <c r="F16" s="19">
        <v>31.34</v>
      </c>
    </row>
    <row r="17" spans="1:6" x14ac:dyDescent="0.2">
      <c r="A17" t="s">
        <v>14</v>
      </c>
      <c r="B17" s="19">
        <v>13.33</v>
      </c>
      <c r="C17" s="19">
        <v>4.4400000000000004</v>
      </c>
      <c r="D17">
        <v>4</v>
      </c>
      <c r="E17" s="19">
        <v>90</v>
      </c>
      <c r="F17" s="19">
        <v>30</v>
      </c>
    </row>
    <row r="18" spans="1:6" x14ac:dyDescent="0.2">
      <c r="A18" t="s">
        <v>46</v>
      </c>
      <c r="B18" s="19">
        <v>115.33</v>
      </c>
      <c r="C18" s="19">
        <v>38.44</v>
      </c>
      <c r="D18">
        <v>30</v>
      </c>
      <c r="E18" s="19">
        <v>78.03</v>
      </c>
      <c r="F18" s="19">
        <v>26.01</v>
      </c>
    </row>
    <row r="19" spans="1:6" x14ac:dyDescent="0.2">
      <c r="A19" t="s">
        <v>36</v>
      </c>
      <c r="B19" s="19">
        <v>119.67</v>
      </c>
      <c r="C19" s="19">
        <v>39.89</v>
      </c>
      <c r="D19">
        <v>29</v>
      </c>
      <c r="E19" s="19">
        <v>72.7</v>
      </c>
      <c r="F19" s="19">
        <v>24.23</v>
      </c>
    </row>
    <row r="20" spans="1:6" x14ac:dyDescent="0.2">
      <c r="A20" t="s">
        <v>24</v>
      </c>
      <c r="B20" s="19">
        <v>17.670000000000002</v>
      </c>
      <c r="C20" s="19">
        <v>5.89</v>
      </c>
      <c r="D20">
        <v>4</v>
      </c>
      <c r="E20" s="19">
        <v>67.92</v>
      </c>
      <c r="F20" s="19">
        <v>22.64</v>
      </c>
    </row>
    <row r="21" spans="1:6" x14ac:dyDescent="0.2">
      <c r="A21" t="s">
        <v>23</v>
      </c>
      <c r="B21" s="19">
        <v>21.67</v>
      </c>
      <c r="C21" s="19">
        <v>7.22</v>
      </c>
      <c r="D21">
        <v>4</v>
      </c>
      <c r="E21" s="19">
        <v>55.38</v>
      </c>
      <c r="F21" s="19">
        <v>18.46</v>
      </c>
    </row>
    <row r="22" spans="1:6" x14ac:dyDescent="0.2">
      <c r="A22" t="s">
        <v>39</v>
      </c>
      <c r="B22" s="19">
        <v>22.33</v>
      </c>
      <c r="C22" s="19">
        <v>7.44</v>
      </c>
      <c r="D22">
        <v>4</v>
      </c>
      <c r="E22" s="19">
        <v>53.73</v>
      </c>
      <c r="F22" s="19">
        <v>17.91</v>
      </c>
    </row>
    <row r="23" spans="1:6" x14ac:dyDescent="0.2">
      <c r="A23" t="s">
        <v>26</v>
      </c>
      <c r="B23" s="19">
        <v>31</v>
      </c>
      <c r="C23" s="19">
        <v>10.33</v>
      </c>
      <c r="D23">
        <v>5</v>
      </c>
      <c r="E23" s="19">
        <v>48.39</v>
      </c>
      <c r="F23" s="19">
        <v>16.13</v>
      </c>
    </row>
    <row r="24" spans="1:6" x14ac:dyDescent="0.2">
      <c r="A24" t="s">
        <v>37</v>
      </c>
      <c r="B24" s="19">
        <v>146.33000000000001</v>
      </c>
      <c r="C24" s="19">
        <v>48.78</v>
      </c>
      <c r="D24">
        <v>23</v>
      </c>
      <c r="E24" s="19">
        <v>47.15</v>
      </c>
      <c r="F24" s="19">
        <v>15.72</v>
      </c>
    </row>
    <row r="25" spans="1:6" x14ac:dyDescent="0.2">
      <c r="A25" t="s">
        <v>30</v>
      </c>
      <c r="B25" s="19">
        <v>33.33</v>
      </c>
      <c r="C25" s="19">
        <v>11.11</v>
      </c>
      <c r="D25">
        <v>5</v>
      </c>
      <c r="E25" s="19">
        <v>45</v>
      </c>
      <c r="F25" s="19">
        <v>15</v>
      </c>
    </row>
    <row r="26" spans="1:6" x14ac:dyDescent="0.2">
      <c r="A26" t="s">
        <v>50</v>
      </c>
      <c r="B26" s="19">
        <v>5061</v>
      </c>
      <c r="C26" s="19">
        <v>1687</v>
      </c>
      <c r="D26">
        <v>730</v>
      </c>
      <c r="E26" s="19">
        <v>43.27</v>
      </c>
      <c r="F26" s="19">
        <v>14.42</v>
      </c>
    </row>
    <row r="27" spans="1:6" x14ac:dyDescent="0.2">
      <c r="A27" t="s">
        <v>3</v>
      </c>
      <c r="B27" s="19">
        <v>398.67</v>
      </c>
      <c r="C27" s="19">
        <v>132.88999999999999</v>
      </c>
      <c r="D27">
        <v>56</v>
      </c>
      <c r="E27" s="19">
        <v>42.14</v>
      </c>
      <c r="F27" s="19">
        <v>14.05</v>
      </c>
    </row>
    <row r="28" spans="1:6" x14ac:dyDescent="0.2">
      <c r="A28" t="s">
        <v>31</v>
      </c>
      <c r="B28" s="19">
        <v>327.33</v>
      </c>
      <c r="C28" s="19">
        <v>109.11</v>
      </c>
      <c r="D28">
        <v>45</v>
      </c>
      <c r="E28" s="19">
        <v>41.24</v>
      </c>
      <c r="F28" s="19">
        <v>13.75</v>
      </c>
    </row>
    <row r="29" spans="1:6" x14ac:dyDescent="0.2">
      <c r="A29" t="s">
        <v>27</v>
      </c>
      <c r="B29" s="19">
        <v>22.33</v>
      </c>
      <c r="C29" s="19">
        <v>7.44</v>
      </c>
      <c r="D29">
        <v>3</v>
      </c>
      <c r="E29" s="19">
        <v>40.299999999999997</v>
      </c>
      <c r="F29" s="19">
        <v>13.43</v>
      </c>
    </row>
    <row r="30" spans="1:6" x14ac:dyDescent="0.2">
      <c r="A30" t="s">
        <v>20</v>
      </c>
      <c r="B30" s="19">
        <v>44.33</v>
      </c>
      <c r="C30" s="19">
        <v>14.78</v>
      </c>
      <c r="D30">
        <v>5</v>
      </c>
      <c r="E30" s="19">
        <v>33.83</v>
      </c>
      <c r="F30" s="19">
        <v>11.28</v>
      </c>
    </row>
    <row r="31" spans="1:6" x14ac:dyDescent="0.2">
      <c r="A31" t="s">
        <v>11</v>
      </c>
      <c r="B31" s="19">
        <v>193.33</v>
      </c>
      <c r="C31" s="19">
        <v>64.44</v>
      </c>
      <c r="D31">
        <v>20</v>
      </c>
      <c r="E31" s="19">
        <v>31.03</v>
      </c>
      <c r="F31" s="19">
        <v>10.34</v>
      </c>
    </row>
    <row r="32" spans="1:6" x14ac:dyDescent="0.2">
      <c r="A32" t="s">
        <v>49</v>
      </c>
      <c r="B32" s="19">
        <v>354.67</v>
      </c>
      <c r="C32" s="19">
        <v>118.22</v>
      </c>
      <c r="D32">
        <v>24</v>
      </c>
      <c r="E32" s="19">
        <v>20.3</v>
      </c>
      <c r="F32" s="19">
        <v>6.77</v>
      </c>
    </row>
    <row r="33" spans="1:6" x14ac:dyDescent="0.2">
      <c r="A33" t="s">
        <v>10</v>
      </c>
      <c r="B33" s="19">
        <v>32.67</v>
      </c>
      <c r="C33" s="19">
        <v>10.89</v>
      </c>
      <c r="D33">
        <v>2</v>
      </c>
      <c r="E33" s="19">
        <v>18.37</v>
      </c>
      <c r="F33" s="19">
        <v>6.12</v>
      </c>
    </row>
    <row r="34" spans="1:6" x14ac:dyDescent="0.2">
      <c r="A34" t="s">
        <v>9</v>
      </c>
      <c r="B34" s="19">
        <v>23</v>
      </c>
      <c r="C34" s="19">
        <v>7.67</v>
      </c>
      <c r="D34">
        <v>1</v>
      </c>
      <c r="E34" s="19">
        <v>13.04</v>
      </c>
      <c r="F34" s="19">
        <v>4.3499999999999996</v>
      </c>
    </row>
    <row r="35" spans="1:6" x14ac:dyDescent="0.2">
      <c r="A35" t="s">
        <v>2</v>
      </c>
      <c r="B35" s="19">
        <v>23.33</v>
      </c>
      <c r="C35" s="19">
        <v>7.78</v>
      </c>
      <c r="D35">
        <v>1</v>
      </c>
      <c r="E35" s="19">
        <v>12.86</v>
      </c>
      <c r="F35" s="19">
        <v>4.29</v>
      </c>
    </row>
    <row r="36" spans="1:6" x14ac:dyDescent="0.2">
      <c r="A36" t="s">
        <v>28</v>
      </c>
      <c r="B36" s="19">
        <v>425</v>
      </c>
      <c r="C36" s="19">
        <v>141.66999999999999</v>
      </c>
      <c r="D36">
        <v>14</v>
      </c>
      <c r="E36" s="19">
        <v>9.8800000000000008</v>
      </c>
      <c r="F36" s="19">
        <v>3.29</v>
      </c>
    </row>
    <row r="37" spans="1:6" x14ac:dyDescent="0.2">
      <c r="A37" t="s">
        <v>48</v>
      </c>
      <c r="B37" s="19">
        <v>296</v>
      </c>
      <c r="C37" s="19">
        <v>98.67</v>
      </c>
      <c r="D37">
        <v>9</v>
      </c>
      <c r="E37" s="19">
        <v>9.1199999999999992</v>
      </c>
      <c r="F37" s="19">
        <v>3.04</v>
      </c>
    </row>
    <row r="38" spans="1:6" x14ac:dyDescent="0.2">
      <c r="A38" t="s">
        <v>7</v>
      </c>
      <c r="B38" s="19">
        <v>380.33</v>
      </c>
      <c r="C38" s="19">
        <v>126.78</v>
      </c>
      <c r="D38">
        <v>10</v>
      </c>
      <c r="E38" s="19">
        <v>7.89</v>
      </c>
      <c r="F38" s="19">
        <v>2.63</v>
      </c>
    </row>
    <row r="39" spans="1:6" x14ac:dyDescent="0.2">
      <c r="A39" t="s">
        <v>8</v>
      </c>
      <c r="B39" s="19">
        <v>356</v>
      </c>
      <c r="C39" s="19">
        <v>118.67</v>
      </c>
      <c r="D39">
        <v>8</v>
      </c>
      <c r="E39" s="19">
        <v>6.74</v>
      </c>
      <c r="F39" s="19">
        <v>2.25</v>
      </c>
    </row>
    <row r="40" spans="1:6" x14ac:dyDescent="0.2">
      <c r="A40" t="s">
        <v>13</v>
      </c>
      <c r="B40" s="19">
        <v>376</v>
      </c>
      <c r="C40" s="19">
        <v>125.33</v>
      </c>
      <c r="D40">
        <v>5</v>
      </c>
      <c r="E40" s="19">
        <v>3.99</v>
      </c>
      <c r="F40" s="19">
        <v>1.33</v>
      </c>
    </row>
    <row r="41" spans="1:6" x14ac:dyDescent="0.2">
      <c r="A41" t="s">
        <v>5</v>
      </c>
      <c r="B41" s="19">
        <v>278.33</v>
      </c>
      <c r="C41" s="19">
        <v>92.78</v>
      </c>
      <c r="D41">
        <v>1</v>
      </c>
      <c r="E41" s="19">
        <v>1.08</v>
      </c>
      <c r="F41" s="19">
        <v>0.36</v>
      </c>
    </row>
    <row r="42" spans="1:6" x14ac:dyDescent="0.2">
      <c r="A42" t="s">
        <v>6</v>
      </c>
      <c r="B42" s="19">
        <v>468.33</v>
      </c>
      <c r="C42" s="19">
        <v>156.11000000000001</v>
      </c>
      <c r="D42">
        <v>1</v>
      </c>
      <c r="E42" s="19">
        <v>0.64</v>
      </c>
      <c r="F42" s="19">
        <v>0.21</v>
      </c>
    </row>
    <row r="43" spans="1:6" x14ac:dyDescent="0.2">
      <c r="A43" t="s">
        <v>15</v>
      </c>
      <c r="B43" s="19">
        <v>31</v>
      </c>
      <c r="C43" s="19">
        <v>10.33</v>
      </c>
      <c r="D43">
        <v>0</v>
      </c>
      <c r="E43" s="19">
        <v>0</v>
      </c>
      <c r="F43" s="19">
        <v>0</v>
      </c>
    </row>
    <row r="44" spans="1:6" x14ac:dyDescent="0.2">
      <c r="A44" t="s">
        <v>17</v>
      </c>
      <c r="B44" s="19">
        <v>13.33</v>
      </c>
      <c r="C44" s="19">
        <v>4.4400000000000004</v>
      </c>
      <c r="D44">
        <v>0</v>
      </c>
      <c r="E44" s="19">
        <v>0</v>
      </c>
      <c r="F44" s="19">
        <v>0</v>
      </c>
    </row>
    <row r="45" spans="1:6" x14ac:dyDescent="0.2">
      <c r="A45" t="s">
        <v>22</v>
      </c>
      <c r="B45" s="19">
        <v>13.33</v>
      </c>
      <c r="C45" s="19">
        <v>4.4400000000000004</v>
      </c>
      <c r="D45">
        <v>0</v>
      </c>
      <c r="E45" s="19">
        <v>0</v>
      </c>
      <c r="F45" s="19">
        <v>0</v>
      </c>
    </row>
    <row r="46" spans="1:6" x14ac:dyDescent="0.2">
      <c r="A46" t="s">
        <v>29</v>
      </c>
      <c r="B46" s="19">
        <v>51.67</v>
      </c>
      <c r="C46" s="19">
        <v>17.22</v>
      </c>
      <c r="D46">
        <v>0</v>
      </c>
      <c r="E46" s="19">
        <v>0</v>
      </c>
      <c r="F46" s="19">
        <v>0</v>
      </c>
    </row>
    <row r="47" spans="1:6" x14ac:dyDescent="0.2">
      <c r="A47" t="s">
        <v>34</v>
      </c>
      <c r="B47" s="19">
        <v>14.33</v>
      </c>
      <c r="C47" s="19">
        <v>4.78</v>
      </c>
      <c r="D47">
        <v>0</v>
      </c>
      <c r="E47" s="19">
        <v>0</v>
      </c>
      <c r="F47" s="19">
        <v>0</v>
      </c>
    </row>
    <row r="48" spans="1:6" x14ac:dyDescent="0.2">
      <c r="A48" t="s">
        <v>35</v>
      </c>
      <c r="B48" s="19">
        <v>13.33</v>
      </c>
      <c r="C48" s="19">
        <v>4.4400000000000004</v>
      </c>
      <c r="D48">
        <v>0</v>
      </c>
      <c r="E48" s="19">
        <v>0</v>
      </c>
      <c r="F48" s="19">
        <v>0</v>
      </c>
    </row>
    <row r="49" spans="1:6" x14ac:dyDescent="0.2">
      <c r="A49" t="s">
        <v>42</v>
      </c>
      <c r="B49" s="19">
        <v>15.67</v>
      </c>
      <c r="C49" s="19">
        <v>5.22</v>
      </c>
      <c r="D49">
        <v>0</v>
      </c>
      <c r="E49" s="19">
        <v>0</v>
      </c>
      <c r="F49" s="19">
        <v>0</v>
      </c>
    </row>
    <row r="50" spans="1:6" x14ac:dyDescent="0.2">
      <c r="A50" t="s">
        <v>44</v>
      </c>
      <c r="B50" s="19">
        <v>17.670000000000002</v>
      </c>
      <c r="C50" s="19">
        <v>5.89</v>
      </c>
      <c r="D50">
        <v>0</v>
      </c>
      <c r="E50" s="19">
        <v>0</v>
      </c>
      <c r="F50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 HPV_Janv_Avril26</vt:lpstr>
      <vt:lpstr>Data_R_triees (2)</vt:lpstr>
      <vt:lpstr>Data_R_triees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PARE</dc:creator>
  <cp:lastModifiedBy>Emmanuel Haro</cp:lastModifiedBy>
  <dcterms:created xsi:type="dcterms:W3CDTF">2026-05-15T16:58:12Z</dcterms:created>
  <dcterms:modified xsi:type="dcterms:W3CDTF">2026-05-15T17:57:56Z</dcterms:modified>
</cp:coreProperties>
</file>